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Resumen empresas" sheetId="2" r:id="rId2"/>
    <sheet name="Detalle documentos" sheetId="3" r:id="rId3"/>
    <sheet name="Metodología" sheetId="4" r:id="rId4"/>
  </sheets>
  <definedNames>
    <definedName name="_xlnm._FilterDatabase" localSheetId="1" hidden="1">'Resumen empresas'!$A$5:$R$15</definedName>
    <definedName name="_xlnm.Print_Area" localSheetId="0">Dashboard!$B$2:$Q$32</definedName>
  </definedNames>
  <calcPr calcId="124519" fullCalcOnLoad="1"/>
</workbook>
</file>

<file path=xl/sharedStrings.xml><?xml version="1.0" encoding="utf-8"?>
<sst xmlns="http://schemas.openxmlformats.org/spreadsheetml/2006/main" count="352" uniqueCount="173">
  <si>
    <t>Reporte consolidado de comprobantes — Julio 2026</t>
  </si>
  <si>
    <t>Todas las empresas registradas · Periodo 01/07/2026–31/07/2026 · Último comprobante encontrado: 09/07/2026</t>
  </si>
  <si>
    <t>Empresas</t>
  </si>
  <si>
    <t>Boletas emitidas</t>
  </si>
  <si>
    <t>Facturas emitidas</t>
  </si>
  <si>
    <t>Notas de crédito emitidas</t>
  </si>
  <si>
    <t>Monto de boletas emitidas</t>
  </si>
  <si>
    <t>Monto de facturas emitidas</t>
  </si>
  <si>
    <t>Monto de notas de crédito</t>
  </si>
  <si>
    <t>TOTAL NETO DEL MES</t>
  </si>
  <si>
    <t>Total neto = monto de boletas ACEPTADAS + monto de facturas ACEPTADAS − monto de notas de crédito ACEPTADAS.</t>
  </si>
  <si>
    <t>Resumen por empresa — Julio 2026</t>
  </si>
  <si>
    <t>Emitidas = estado SUNAT ACEPTADO. Rechazadas = estado SUNAT RECHAZADO. Otros = anuladas, pendientes, reemplazadas o cualquier otro estado.</t>
  </si>
  <si>
    <t>Los importes solo consideran comprobantes aceptados y se expresan en soles (PEN).</t>
  </si>
  <si>
    <t>Empresa</t>
  </si>
  <si>
    <t>RUC</t>
  </si>
  <si>
    <t>Boletas
(total)</t>
  </si>
  <si>
    <t>Boletas
emitidas</t>
  </si>
  <si>
    <t>Boletas
rechazadas</t>
  </si>
  <si>
    <t>Boletas
otros</t>
  </si>
  <si>
    <t>Monto boletas
emitidas</t>
  </si>
  <si>
    <t>Facturas
(total)</t>
  </si>
  <si>
    <t>Facturas
emitidas</t>
  </si>
  <si>
    <t>Facturas
rechazadas</t>
  </si>
  <si>
    <t>Facturas
otros</t>
  </si>
  <si>
    <t>Monto facturas
emitidas</t>
  </si>
  <si>
    <t>Notas crédito
(total)</t>
  </si>
  <si>
    <t>Notas crédito
emitidas</t>
  </si>
  <si>
    <t>Notas crédito
rechazadas</t>
  </si>
  <si>
    <t>Notas crédito
otros</t>
  </si>
  <si>
    <t>Monto notas de
crédito</t>
  </si>
  <si>
    <t>TOTAL NETO
DEL MES</t>
  </si>
  <si>
    <t>RUNAPUMA E.I.R.L</t>
  </si>
  <si>
    <t>20612400882</t>
  </si>
  <si>
    <t>IMPORTACIONES STARFISH E.I.R.L.</t>
  </si>
  <si>
    <t>20612795305</t>
  </si>
  <si>
    <t>TIENDAS DOLPHIN E.I.R.L.</t>
  </si>
  <si>
    <t>20612600563</t>
  </si>
  <si>
    <t>LIMBO PERU S.R.L</t>
  </si>
  <si>
    <t>20607809136</t>
  </si>
  <si>
    <t>HIGHER PERU S.R.L.</t>
  </si>
  <si>
    <t>20600999452</t>
  </si>
  <si>
    <t>INVERSIONES MANTA RAYA E.I.R.L.</t>
  </si>
  <si>
    <t>20612346659</t>
  </si>
  <si>
    <t>INVERSIONES YAKURUNA E.I.R.L.</t>
  </si>
  <si>
    <t>20612400866</t>
  </si>
  <si>
    <t>LA TIENDA DEL VIAJERO E.I.R.L.</t>
  </si>
  <si>
    <t>20601002630</t>
  </si>
  <si>
    <t>TIENDAS STINGRAY E.I.R.L.</t>
  </si>
  <si>
    <t>20612595675</t>
  </si>
  <si>
    <t>BEAUTY HOME E.I.R.L</t>
  </si>
  <si>
    <t>20612784192</t>
  </si>
  <si>
    <t>TOTAL DEL MES</t>
  </si>
  <si>
    <t>Control del periodo</t>
  </si>
  <si>
    <t>Boletas totales</t>
  </si>
  <si>
    <t>Boletas rechazadas</t>
  </si>
  <si>
    <t>Boletas otros estados</t>
  </si>
  <si>
    <t>Facturas totales</t>
  </si>
  <si>
    <t>Facturas rechazadas</t>
  </si>
  <si>
    <t>NC totales</t>
  </si>
  <si>
    <t>NC rechazadas</t>
  </si>
  <si>
    <t>Importante: una boleta anulada forma parte del total de boletas, pero no del monto emitido. Por eso el total de documentos puede no coincidir con emitidos + rechazados.</t>
  </si>
  <si>
    <t>Detalle de comprobantes — Julio 2026</t>
  </si>
  <si>
    <t>Fuente: tablas boletas, facturas y credit_notes de la base PostgreSQL. Periodo filtrado: 01/07/2026–31/07/2026.</t>
  </si>
  <si>
    <t>Los montos son el importe total del comprobante (mto_imp_venta). Use los filtros para revisar empresa, tipo o estado.</t>
  </si>
  <si>
    <t>Boleta</t>
  </si>
  <si>
    <t>B001-001753</t>
  </si>
  <si>
    <t>ACEPTADO</t>
  </si>
  <si>
    <t>PEN</t>
  </si>
  <si>
    <t>3242563152</t>
  </si>
  <si>
    <t>resumen_diario</t>
  </si>
  <si>
    <t>B001-001757</t>
  </si>
  <si>
    <t>3242549662</t>
  </si>
  <si>
    <t>B001-001758</t>
  </si>
  <si>
    <t>3242549508</t>
  </si>
  <si>
    <t>individual</t>
  </si>
  <si>
    <t>B001-001759</t>
  </si>
  <si>
    <t>3242548783</t>
  </si>
  <si>
    <t>B001-001761</t>
  </si>
  <si>
    <t>3242527258</t>
  </si>
  <si>
    <t>B001-001764</t>
  </si>
  <si>
    <t>3242632102</t>
  </si>
  <si>
    <t>B001-001765</t>
  </si>
  <si>
    <t>3242582565</t>
  </si>
  <si>
    <t>B001-001766</t>
  </si>
  <si>
    <t>3242580668</t>
  </si>
  <si>
    <t>B001-001767</t>
  </si>
  <si>
    <t>3242569321</t>
  </si>
  <si>
    <t>Factura</t>
  </si>
  <si>
    <t>F001-000003</t>
  </si>
  <si>
    <t>3242541391</t>
  </si>
  <si>
    <t>B001-000432</t>
  </si>
  <si>
    <t>3242520710</t>
  </si>
  <si>
    <t>B001-000434</t>
  </si>
  <si>
    <t>3242518897</t>
  </si>
  <si>
    <t>B001-000435</t>
  </si>
  <si>
    <t>3242570355</t>
  </si>
  <si>
    <t>B001-000437</t>
  </si>
  <si>
    <t>3242555506</t>
  </si>
  <si>
    <t>B001-000438</t>
  </si>
  <si>
    <t>3242543961</t>
  </si>
  <si>
    <t>B001-001760</t>
  </si>
  <si>
    <t>ANULADO</t>
  </si>
  <si>
    <t/>
  </si>
  <si>
    <t>Nota de crédito</t>
  </si>
  <si>
    <t>B001-000084</t>
  </si>
  <si>
    <t>03</t>
  </si>
  <si>
    <t>ANULACION DE LA OPERACION</t>
  </si>
  <si>
    <t>F001-000001</t>
  </si>
  <si>
    <t>F001-000002</t>
  </si>
  <si>
    <t>01</t>
  </si>
  <si>
    <t>B001-000442</t>
  </si>
  <si>
    <t>3242639729</t>
  </si>
  <si>
    <t>B001-000443</t>
  </si>
  <si>
    <t>3242693167</t>
  </si>
  <si>
    <t>B001-000496</t>
  </si>
  <si>
    <t>B001-001762</t>
  </si>
  <si>
    <t>B001-001763</t>
  </si>
  <si>
    <t>F001-000004</t>
  </si>
  <si>
    <t>F999-000001</t>
  </si>
  <si>
    <t>3242423824</t>
  </si>
  <si>
    <t>B001-000073</t>
  </si>
  <si>
    <t>B001-000233</t>
  </si>
  <si>
    <t>B001-000074</t>
  </si>
  <si>
    <t>B001-000249</t>
  </si>
  <si>
    <t>B001-000075</t>
  </si>
  <si>
    <t>B001-000263</t>
  </si>
  <si>
    <t>Fecha emisión</t>
  </si>
  <si>
    <t>Tipo</t>
  </si>
  <si>
    <t>N.º comprobante</t>
  </si>
  <si>
    <t>Estado SUNAT</t>
  </si>
  <si>
    <t>Moneda</t>
  </si>
  <si>
    <t>Importe total</t>
  </si>
  <si>
    <t>N.º orden</t>
  </si>
  <si>
    <t>Documento afectado</t>
  </si>
  <si>
    <t>Tipo doc. afectado</t>
  </si>
  <si>
    <t>Motivo nota de crédito</t>
  </si>
  <si>
    <t>Método de envío</t>
  </si>
  <si>
    <t>ID empresa</t>
  </si>
  <si>
    <t>Metodología y controles</t>
  </si>
  <si>
    <t>Reporte consolidado para Julio 2026. Fecha de generación: 31/07/2026.</t>
  </si>
  <si>
    <t>Definiciones</t>
  </si>
  <si>
    <t>Empresa incluida</t>
  </si>
  <si>
    <t>Toda empresa registrada en la tabla companies, incluso si no tuvo movimientos en el mes.</t>
  </si>
  <si>
    <t>Documento emitido</t>
  </si>
  <si>
    <t>Comprobante cuyo estado SUNAT es ACEPTADO.</t>
  </si>
  <si>
    <t>Documento rechazado</t>
  </si>
  <si>
    <t>Comprobante cuyo estado SUNAT es RECHAZADO.</t>
  </si>
  <si>
    <t>Otros estados</t>
  </si>
  <si>
    <t>ANULADO, PENDIENTE, REEMPLAZADO, sin estado u otro valor distinto de ACEPTADO/RECHAZADO.</t>
  </si>
  <si>
    <t>Monto de boletas/facturas</t>
  </si>
  <si>
    <t>Suma de mto_imp_venta únicamente para documentos ACEPTADOS.</t>
  </si>
  <si>
    <t>Suma de mto_imp_venta únicamente para notas de crédito ACEPTADAS.</t>
  </si>
  <si>
    <t>Total neto mensual</t>
  </si>
  <si>
    <t>Monto de boletas aceptadas + monto de facturas aceptadas − monto de notas de crédito aceptadas.</t>
  </si>
  <si>
    <t>Controles de conciliación</t>
  </si>
  <si>
    <t>Control</t>
  </si>
  <si>
    <t>Valor reportado</t>
  </si>
  <si>
    <t>Valor recalculado</t>
  </si>
  <si>
    <t>Resultado</t>
  </si>
  <si>
    <t>Boletas: total = emitidas + rechazadas + otros</t>
  </si>
  <si>
    <t>OK</t>
  </si>
  <si>
    <t>Facturas: total = emitidas + rechazadas + otros</t>
  </si>
  <si>
    <t>Notas de crédito: total = emitidas + rechazadas + otros</t>
  </si>
  <si>
    <t>Total neto recalculado</t>
  </si>
  <si>
    <t>Fuente de datos</t>
  </si>
  <si>
    <t>Base</t>
  </si>
  <si>
    <t>PostgreSQL configurada mediante DATABASE_URL_POSTGRES/DATABASE_URL del proyecto.</t>
  </si>
  <si>
    <t>Tablas</t>
  </si>
  <si>
    <t>companies, boletas, facturas y credit_notes.</t>
  </si>
  <si>
    <t>Rango</t>
  </si>
  <si>
    <t>01/07/2026 al 31/07/2026.</t>
  </si>
  <si>
    <t>PEN. El reporte no realiza conversión de moneda.</t>
  </si>
</sst>
</file>

<file path=xl/styles.xml><?xml version="1.0" encoding="utf-8"?>
<styleSheet xmlns="http://schemas.openxmlformats.org/spreadsheetml/2006/main">
  <numFmts count="3">
    <numFmt numFmtId="164" formatCode="&quot;S/&quot; #,##0.00;[Red]-&quot;S/&quot; #,##0.00"/>
    <numFmt numFmtId="165" formatCode="#,##0"/>
    <numFmt numFmtId="166" formatCode="dd/mm/yyyy"/>
  </numFmts>
  <fonts count="17">
    <font>
      <sz val="11"/>
      <color theme="1"/>
      <name val="Calibri"/>
      <family val="2"/>
      <scheme val="minor"/>
    </font>
    <font>
      <b/>
      <sz val="22"/>
      <color rgb="FFFFFFFF"/>
      <name val="Aptos Display"/>
      <family val="2"/>
    </font>
    <font>
      <sz val="10"/>
      <color rgb="FFDCE7FF"/>
      <name val="Aptos"/>
      <family val="2"/>
    </font>
    <font>
      <b/>
      <sz val="9"/>
      <color rgb="FF64748B"/>
      <name val="Aptos"/>
      <family val="2"/>
    </font>
    <font>
      <b/>
      <sz val="20"/>
      <color rgb="FF7E22CE"/>
      <name val="Aptos Display"/>
      <family val="2"/>
    </font>
    <font>
      <b/>
      <sz val="20"/>
      <color rgb="FF1D4ED8"/>
      <name val="Aptos Display"/>
      <family val="2"/>
    </font>
    <font>
      <b/>
      <sz val="20"/>
      <color rgb="FF15803D"/>
      <name val="Aptos Display"/>
      <family val="2"/>
    </font>
    <font>
      <b/>
      <sz val="20"/>
      <color rgb="FFB45309"/>
      <name val="Aptos Display"/>
      <family val="2"/>
    </font>
    <font>
      <b/>
      <sz val="24"/>
      <color rgb="FFFFFFFF"/>
      <name val="Aptos Display"/>
      <family val="2"/>
    </font>
    <font>
      <sz val="9"/>
      <color rgb="FF64748B"/>
      <name val="Aptos"/>
      <family val="2"/>
    </font>
    <font>
      <b/>
      <sz val="12"/>
      <color rgb="FF172554"/>
      <name val="Aptos"/>
      <family val="2"/>
    </font>
    <font>
      <sz val="10"/>
      <color rgb="FF111827"/>
      <name val="Aptos"/>
      <family val="2"/>
    </font>
    <font>
      <b/>
      <sz val="9"/>
      <color rgb="FFFFFFFF"/>
      <name val="Aptos"/>
      <family val="2"/>
    </font>
    <font>
      <b/>
      <sz val="11"/>
      <color rgb="FFFFFFFF"/>
      <name val="Aptos"/>
      <family val="2"/>
    </font>
    <font>
      <sz val="10"/>
      <color theme="1"/>
      <name val="Aptos"/>
      <family val="2"/>
    </font>
    <font>
      <b/>
      <sz val="11"/>
      <color rgb="FF172554"/>
      <name val="Calibri"/>
      <family val="2"/>
      <scheme val="minor"/>
    </font>
    <font>
      <b/>
      <sz val="11"/>
      <color rgb="FF15803D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D4ED8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medium">
        <color rgb="FF1D4ED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rgb="FF17255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 wrapText="1"/>
    </xf>
    <xf numFmtId="0" fontId="10" fillId="0" borderId="2" xfId="0" applyFont="1" applyBorder="1"/>
    <xf numFmtId="0" fontId="11" fillId="0" borderId="0" xfId="0" applyFont="1"/>
    <xf numFmtId="165" fontId="11" fillId="0" borderId="0" xfId="0" applyNumberFormat="1" applyFont="1"/>
    <xf numFmtId="0" fontId="12" fillId="9" borderId="3" xfId="0" applyFont="1" applyFill="1" applyBorder="1" applyAlignment="1">
      <alignment horizontal="center" vertical="center" wrapText="1"/>
    </xf>
    <xf numFmtId="164" fontId="11" fillId="0" borderId="0" xfId="0" applyNumberFormat="1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164" fontId="13" fillId="2" borderId="4" xfId="0" applyNumberFormat="1" applyFont="1" applyFill="1" applyBorder="1"/>
    <xf numFmtId="166" fontId="14" fillId="0" borderId="0" xfId="0" applyNumberFormat="1" applyFont="1"/>
    <xf numFmtId="0" fontId="15" fillId="0" borderId="0" xfId="0" applyFont="1" applyAlignment="1">
      <alignment vertical="top"/>
    </xf>
    <xf numFmtId="0" fontId="16" fillId="5" borderId="0" xfId="0" applyFont="1" applyFill="1" applyAlignment="1">
      <alignment horizontal="center"/>
    </xf>
    <xf numFmtId="0" fontId="15" fillId="0" borderId="0" xfId="0" applyFont="1"/>
  </cellXfs>
  <cellStyles count="1">
    <cellStyle name="Normal" xfId="0" builtinId="0"/>
  </cellStyles>
  <dxfs count="3">
    <dxf>
      <font>
        <b/>
        <color rgb="FFB91C1C"/>
      </font>
      <fill>
        <patternFill>
          <bgColor rgb="FFFEE2E2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64748B"/>
      </font>
      <fill>
        <patternFill>
          <bgColor rgb="FFF1F5F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neto por empresa (S/)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Total neto</c:v>
          </c:tx>
          <c:spPr>
            <a:solidFill>
              <a:srgbClr val="1D4ED8"/>
            </a:solidFill>
            <a:ln>
              <a:noFill/>
            </a:ln>
          </c:spPr>
          <c:dLbls>
            <c:numFmt formatCode="&quot;S/&quot; #,##0" sourceLinked="0"/>
            <c:showVal val="1"/>
          </c:dLbls>
          <c:cat>
            <c:strRef>
              <c:f>'Resumen empresas'!$A$6:$A$15</c:f>
              <c:strCache>
                <c:ptCount val="10"/>
                <c:pt idx="0">
                  <c:v>RUNAPUMA E.I.R.L</c:v>
                </c:pt>
                <c:pt idx="1">
                  <c:v>IMPORTACIONES STARFISH E.I.R.L.</c:v>
                </c:pt>
                <c:pt idx="2">
                  <c:v>TIENDAS DOLPHIN E.I.R.L.</c:v>
                </c:pt>
                <c:pt idx="3">
                  <c:v>LIMBO PERU S.R.L</c:v>
                </c:pt>
                <c:pt idx="4">
                  <c:v>HIGHER PERU S.R.L.</c:v>
                </c:pt>
                <c:pt idx="5">
                  <c:v>INVERSIONES MANTA RAYA E.I.R.L.</c:v>
                </c:pt>
                <c:pt idx="6">
                  <c:v>INVERSIONES YAKURUNA E.I.R.L.</c:v>
                </c:pt>
                <c:pt idx="7">
                  <c:v>LA TIENDA DEL VIAJERO E.I.R.L.</c:v>
                </c:pt>
                <c:pt idx="8">
                  <c:v>TIENDAS STINGRAY E.I.R.L.</c:v>
                </c:pt>
                <c:pt idx="9">
                  <c:v>BEAUTY HOME E.I.R.L</c:v>
                </c:pt>
              </c:strCache>
            </c:strRef>
          </c:cat>
          <c:val>
            <c:numRef>
              <c:f>'Resumen empresas'!$R$6:$R$15</c:f>
              <c:numCache>
                <c:formatCode>General</c:formatCode>
                <c:ptCount val="10"/>
                <c:pt idx="0">
                  <c:v>1217.04</c:v>
                </c:pt>
                <c:pt idx="1">
                  <c:v>372.9</c:v>
                </c:pt>
                <c:pt idx="2">
                  <c:v>314.54</c:v>
                </c:pt>
                <c:pt idx="3">
                  <c:v>10.0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-250.66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CBD5E1"/>
              </a:solidFill>
            </a:ln>
          </c:spPr>
        </c:majorGridlines>
        <c:numFmt formatCode="&quot;S/&quot; #,##0" sourceLinked="0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10</xdr:col>
      <xdr:colOff>333375</xdr:colOff>
      <xdr:row>35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etalleComprobantes" displayName="DetalleComprobantes" ref="A5:N33" totalsRowShown="0">
  <autoFilter ref="A5:N33"/>
  <tableColumns count="14">
    <tableColumn id="1" name="Fecha emisión"/>
    <tableColumn id="2" name="Tipo"/>
    <tableColumn id="3" name="Empresa"/>
    <tableColumn id="4" name="RUC"/>
    <tableColumn id="5" name="N.º comprobante"/>
    <tableColumn id="6" name="Estado SUNAT"/>
    <tableColumn id="7" name="Moneda"/>
    <tableColumn id="8" name="Importe total"/>
    <tableColumn id="9" name="N.º orden"/>
    <tableColumn id="10" name="Documento afectado"/>
    <tableColumn id="11" name="Tipo doc. afectado"/>
    <tableColumn id="12" name="Motivo nota de crédito"/>
    <tableColumn id="13" name="Método de envío"/>
    <tableColumn id="14" name="ID empres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D4ED8"/>
    <pageSetUpPr fitToPage="1"/>
  </sheetPr>
  <dimension ref="A1:Q29"/>
  <sheetViews>
    <sheetView showGridLines="0" tabSelected="1" zoomScale="70" zoomScaleNormal="70" workbookViewId="0"/>
  </sheetViews>
  <sheetFormatPr defaultRowHeight="15"/>
  <cols>
    <col min="1" max="1" width="3.28515625" customWidth="1"/>
    <col min="2" max="17" width="10.7109375" customWidth="1"/>
  </cols>
  <sheetData>
    <row r="1" spans="2:17" ht="8" customHeight="1"/>
    <row r="2" spans="2:17" ht="34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24" customHeight="1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2:17">
      <c r="B5" s="3" t="s">
        <v>2</v>
      </c>
      <c r="C5" s="3"/>
      <c r="D5" s="3"/>
      <c r="E5" s="3"/>
      <c r="F5" s="3" t="s">
        <v>3</v>
      </c>
      <c r="G5" s="3"/>
      <c r="H5" s="3"/>
      <c r="I5" s="3"/>
      <c r="J5" s="3" t="s">
        <v>4</v>
      </c>
      <c r="K5" s="3"/>
      <c r="L5" s="3"/>
      <c r="M5" s="3"/>
      <c r="N5" s="3" t="s">
        <v>5</v>
      </c>
      <c r="O5" s="3"/>
      <c r="P5" s="3"/>
      <c r="Q5" s="3"/>
    </row>
    <row r="6" spans="2:17">
      <c r="B6" s="4">
        <f>COUNTA('Resumen empresas'!$B$6:$B$15)</f>
        <v>10.0</v>
      </c>
      <c r="C6" s="4"/>
      <c r="D6" s="4"/>
      <c r="E6" s="4"/>
      <c r="F6" s="5">
        <f>'Resumen empresas'!D16</f>
        <v>19.0</v>
      </c>
      <c r="G6" s="5"/>
      <c r="H6" s="5"/>
      <c r="I6" s="5"/>
      <c r="J6" s="6">
        <f>'Resumen empresas'!I16</f>
        <v>3.0</v>
      </c>
      <c r="K6" s="6"/>
      <c r="L6" s="6"/>
      <c r="M6" s="6"/>
      <c r="N6" s="7">
        <f>'Resumen empresas'!N16</f>
        <v>5.0</v>
      </c>
      <c r="O6" s="7"/>
      <c r="P6" s="7"/>
      <c r="Q6" s="7"/>
    </row>
    <row r="7" spans="2:17">
      <c r="B7" s="4"/>
      <c r="C7" s="4"/>
      <c r="D7" s="4"/>
      <c r="E7" s="4"/>
      <c r="F7" s="5"/>
      <c r="G7" s="5"/>
      <c r="H7" s="5"/>
      <c r="I7" s="5"/>
      <c r="J7" s="6"/>
      <c r="K7" s="6"/>
      <c r="L7" s="6"/>
      <c r="M7" s="6"/>
      <c r="N7" s="7"/>
      <c r="O7" s="7"/>
      <c r="P7" s="7"/>
      <c r="Q7" s="7"/>
    </row>
    <row r="9" spans="2:17">
      <c r="B9" s="3" t="s">
        <v>6</v>
      </c>
      <c r="C9" s="3"/>
      <c r="D9" s="3"/>
      <c r="E9" s="3"/>
      <c r="F9" s="3" t="s">
        <v>7</v>
      </c>
      <c r="G9" s="3"/>
      <c r="H9" s="3"/>
      <c r="I9" s="3"/>
      <c r="J9" s="3" t="s">
        <v>8</v>
      </c>
      <c r="K9" s="3"/>
      <c r="L9" s="3"/>
      <c r="M9" s="3"/>
      <c r="N9" s="3" t="s">
        <v>9</v>
      </c>
      <c r="O9" s="3"/>
      <c r="P9" s="3"/>
      <c r="Q9" s="3"/>
    </row>
    <row r="10" spans="2:17">
      <c r="B10" s="8">
        <f>'Resumen empresas'!G16</f>
        <v>1621.58</v>
      </c>
      <c r="C10" s="8"/>
      <c r="D10" s="8"/>
      <c r="E10" s="8"/>
      <c r="F10" s="9">
        <f>'Resumen empresas'!L16</f>
        <v>565.7</v>
      </c>
      <c r="G10" s="9"/>
      <c r="H10" s="9"/>
      <c r="I10" s="9"/>
      <c r="J10" s="10">
        <f>'Resumen empresas'!Q16</f>
        <v>523.46</v>
      </c>
      <c r="K10" s="10"/>
      <c r="L10" s="10"/>
      <c r="M10" s="10"/>
      <c r="N10" s="11">
        <f>'Resumen empresas'!R16</f>
        <v>1663.82</v>
      </c>
      <c r="O10" s="11"/>
      <c r="P10" s="11"/>
      <c r="Q10" s="11"/>
    </row>
    <row r="11" spans="2:17">
      <c r="B11" s="8"/>
      <c r="C11" s="8"/>
      <c r="D11" s="8"/>
      <c r="E11" s="8"/>
      <c r="F11" s="9"/>
      <c r="G11" s="9"/>
      <c r="H11" s="9"/>
      <c r="I11" s="9"/>
      <c r="J11" s="10"/>
      <c r="K11" s="10"/>
      <c r="L11" s="10"/>
      <c r="M11" s="10"/>
      <c r="N11" s="11"/>
      <c r="O11" s="11"/>
      <c r="P11" s="11"/>
      <c r="Q11" s="11"/>
    </row>
    <row r="12" spans="2:17">
      <c r="B12" s="8"/>
      <c r="C12" s="8"/>
      <c r="D12" s="8"/>
      <c r="E12" s="8"/>
      <c r="F12" s="9"/>
      <c r="G12" s="9"/>
      <c r="H12" s="9"/>
      <c r="I12" s="9"/>
      <c r="J12" s="10"/>
      <c r="K12" s="10"/>
      <c r="L12" s="10"/>
      <c r="M12" s="10"/>
      <c r="N12" s="11"/>
      <c r="O12" s="11"/>
      <c r="P12" s="11"/>
      <c r="Q12" s="11"/>
    </row>
    <row r="14" spans="2:17">
      <c r="B14" s="12" t="s">
        <v>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6" spans="2:17">
      <c r="N16" s="13" t="s">
        <v>53</v>
      </c>
    </row>
    <row r="17" spans="14:17">
      <c r="N17" s="14" t="s">
        <v>54</v>
      </c>
      <c r="O17" s="14"/>
      <c r="P17" s="14"/>
      <c r="Q17" s="15">
        <v>20</v>
      </c>
    </row>
    <row r="18" spans="14:17">
      <c r="N18" s="14" t="s">
        <v>55</v>
      </c>
      <c r="O18" s="14"/>
      <c r="P18" s="14"/>
      <c r="Q18" s="15">
        <v>0</v>
      </c>
    </row>
    <row r="19" spans="14:17">
      <c r="N19" s="14" t="s">
        <v>56</v>
      </c>
      <c r="O19" s="14"/>
      <c r="P19" s="14"/>
      <c r="Q19" s="15">
        <v>1</v>
      </c>
    </row>
    <row r="20" spans="14:17">
      <c r="N20" s="14" t="s">
        <v>57</v>
      </c>
      <c r="O20" s="14"/>
      <c r="P20" s="14"/>
      <c r="Q20" s="15">
        <v>3</v>
      </c>
    </row>
    <row r="21" spans="14:17">
      <c r="N21" s="14" t="s">
        <v>58</v>
      </c>
      <c r="O21" s="14"/>
      <c r="P21" s="14"/>
      <c r="Q21" s="15">
        <v>0</v>
      </c>
    </row>
    <row r="22" spans="14:17">
      <c r="N22" s="14" t="s">
        <v>59</v>
      </c>
      <c r="O22" s="14"/>
      <c r="P22" s="14"/>
      <c r="Q22" s="15">
        <v>5</v>
      </c>
    </row>
    <row r="23" spans="14:17">
      <c r="N23" s="14" t="s">
        <v>60</v>
      </c>
      <c r="O23" s="14"/>
      <c r="P23" s="14"/>
      <c r="Q23" s="15">
        <v>0</v>
      </c>
    </row>
    <row r="26" spans="14:17">
      <c r="N26" s="12" t="s">
        <v>61</v>
      </c>
      <c r="O26" s="12"/>
      <c r="P26" s="12"/>
      <c r="Q26" s="12"/>
    </row>
    <row r="27" spans="14:17">
      <c r="N27" s="12"/>
      <c r="O27" s="12"/>
      <c r="P27" s="12"/>
      <c r="Q27" s="12"/>
    </row>
    <row r="28" spans="14:17">
      <c r="N28" s="12"/>
      <c r="O28" s="12"/>
      <c r="P28" s="12"/>
      <c r="Q28" s="12"/>
    </row>
    <row r="29" spans="14:17">
      <c r="N29" s="12"/>
      <c r="O29" s="12"/>
      <c r="P29" s="12"/>
      <c r="Q29" s="12"/>
    </row>
  </sheetData>
  <mergeCells count="27">
    <mergeCell ref="B2:Q2"/>
    <mergeCell ref="B3:Q3"/>
    <mergeCell ref="B5:E5"/>
    <mergeCell ref="F5:I5"/>
    <mergeCell ref="J5:M5"/>
    <mergeCell ref="N5:Q5"/>
    <mergeCell ref="B6:E7"/>
    <mergeCell ref="F6:I7"/>
    <mergeCell ref="J6:M7"/>
    <mergeCell ref="N6:Q7"/>
    <mergeCell ref="B9:E9"/>
    <mergeCell ref="F9:I9"/>
    <mergeCell ref="J9:M9"/>
    <mergeCell ref="N9:Q9"/>
    <mergeCell ref="B10:E12"/>
    <mergeCell ref="F10:I12"/>
    <mergeCell ref="J10:M12"/>
    <mergeCell ref="N10:Q12"/>
    <mergeCell ref="B14:Q14"/>
    <mergeCell ref="N17:P17"/>
    <mergeCell ref="N18:P18"/>
    <mergeCell ref="N19:P19"/>
    <mergeCell ref="N20:P20"/>
    <mergeCell ref="N21:P21"/>
    <mergeCell ref="N22:P22"/>
    <mergeCell ref="N23:P23"/>
    <mergeCell ref="N26:Q29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5803D"/>
    <pageSetUpPr fitToPage="1"/>
  </sheetPr>
  <dimension ref="A1:R16"/>
  <sheetViews>
    <sheetView showGridLines="0" zoomScale="65" zoomScaleNormal="6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4.7109375" customWidth="1"/>
    <col min="2" max="2" width="14.7109375" customWidth="1"/>
    <col min="3" max="6" width="11.7109375" customWidth="1"/>
    <col min="7" max="7" width="16.7109375" customWidth="1"/>
    <col min="8" max="11" width="11.7109375" customWidth="1"/>
    <col min="12" max="12" width="16.7109375" customWidth="1"/>
    <col min="13" max="16" width="12.7109375" customWidth="1"/>
    <col min="17" max="18" width="17.7109375" customWidth="1"/>
  </cols>
  <sheetData>
    <row r="1" spans="1:18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12" t="s">
        <v>13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5" spans="1:18" ht="42" customHeight="1">
      <c r="A5" s="16" t="s">
        <v>14</v>
      </c>
      <c r="B5" s="16" t="s">
        <v>15</v>
      </c>
      <c r="C5" s="16" t="s">
        <v>16</v>
      </c>
      <c r="D5" s="16" t="s">
        <v>17</v>
      </c>
      <c r="E5" s="16" t="s">
        <v>18</v>
      </c>
      <c r="F5" s="16" t="s">
        <v>19</v>
      </c>
      <c r="G5" s="16" t="s">
        <v>20</v>
      </c>
      <c r="H5" s="16" t="s">
        <v>21</v>
      </c>
      <c r="I5" s="16" t="s">
        <v>22</v>
      </c>
      <c r="J5" s="16" t="s">
        <v>23</v>
      </c>
      <c r="K5" s="16" t="s">
        <v>24</v>
      </c>
      <c r="L5" s="16" t="s">
        <v>25</v>
      </c>
      <c r="M5" s="16" t="s">
        <v>26</v>
      </c>
      <c r="N5" s="16" t="s">
        <v>27</v>
      </c>
      <c r="O5" s="16" t="s">
        <v>28</v>
      </c>
      <c r="P5" s="16" t="s">
        <v>29</v>
      </c>
      <c r="Q5" s="16" t="s">
        <v>30</v>
      </c>
      <c r="R5" s="16" t="s">
        <v>31</v>
      </c>
    </row>
    <row r="6" spans="1:18">
      <c r="A6" s="14" t="s">
        <v>32</v>
      </c>
      <c r="B6" s="14" t="s">
        <v>33</v>
      </c>
      <c r="C6" s="15">
        <f>COUNTIFS('Detalle documentos'!$D$6:$D$33,$B6,'Detalle documentos'!$B$6:$B$33,"Boleta")</f>
        <v>12.0</v>
      </c>
      <c r="D6" s="15">
        <f>COUNTIFS('Detalle documentos'!$D$6:$D$33,$B6,'Detalle documentos'!$B$6:$B$33,"Boleta",'Detalle documentos'!$F$6:$F$33,"ACEPTADO")</f>
        <v>11.0</v>
      </c>
      <c r="E6" s="15">
        <f>COUNTIFS('Detalle documentos'!$D$6:$D$33,$B6,'Detalle documentos'!$B$6:$B$33,"Boleta",'Detalle documentos'!$F$6:$F$33,"RECHAZADO")</f>
        <v>0.0</v>
      </c>
      <c r="F6" s="15">
        <f>C6-D6-E6</f>
        <v>1.0</v>
      </c>
      <c r="G6" s="17">
        <f>SUMIFS('Detalle documentos'!$H$6:$H$33,'Detalle documentos'!$D$6:$D$33,$B6,'Detalle documentos'!$B$6:$B$33,"Boleta",'Detalle documentos'!$F$6:$F$33,"ACEPTADO")</f>
        <v>1297.04</v>
      </c>
      <c r="H6" s="15">
        <f>COUNTIFS('Detalle documentos'!$D$6:$D$33,$B6,'Detalle documentos'!$B$6:$B$33,"Factura")</f>
        <v>2.0</v>
      </c>
      <c r="I6" s="15">
        <f>COUNTIFS('Detalle documentos'!$D$6:$D$33,$B6,'Detalle documentos'!$B$6:$B$33,"Factura",'Detalle documentos'!$F$6:$F$33,"ACEPTADO")</f>
        <v>2.0</v>
      </c>
      <c r="J6" s="15">
        <f>COUNTIFS('Detalle documentos'!$D$6:$D$33,$B6,'Detalle documentos'!$B$6:$B$33,"Factura",'Detalle documentos'!$F$6:$F$33,"RECHAZADO")</f>
        <v>0.0</v>
      </c>
      <c r="K6" s="15">
        <f>H6-I6-J6</f>
        <v>0.0</v>
      </c>
      <c r="L6" s="17">
        <f>SUMIFS('Detalle documentos'!$H$6:$H$33,'Detalle documentos'!$D$6:$D$33,$B6,'Detalle documentos'!$B$6:$B$33,"Factura",'Detalle documentos'!$F$6:$F$33,"ACEPTADO")</f>
        <v>192.8</v>
      </c>
      <c r="M6" s="15">
        <f>COUNTIFS('Detalle documentos'!$D$6:$D$33,$B6,'Detalle documentos'!$B$6:$B$33,"Nota de crédito")</f>
        <v>2.0</v>
      </c>
      <c r="N6" s="15">
        <f>COUNTIFS('Detalle documentos'!$D$6:$D$33,$B6,'Detalle documentos'!$B$6:$B$33,"Nota de crédito",'Detalle documentos'!$F$6:$F$33,"ACEPTADO")</f>
        <v>2.0</v>
      </c>
      <c r="O6" s="15">
        <f>COUNTIFS('Detalle documentos'!$D$6:$D$33,$B6,'Detalle documentos'!$B$6:$B$33,"Nota de crédito",'Detalle documentos'!$F$6:$F$33,"RECHAZADO")</f>
        <v>0.0</v>
      </c>
      <c r="P6" s="15">
        <f>M6-N6-O6</f>
        <v>0.0</v>
      </c>
      <c r="Q6" s="17">
        <f>SUMIFS('Detalle documentos'!$H$6:$H$33,'Detalle documentos'!$D$6:$D$33,$B6,'Detalle documentos'!$B$6:$B$33,"Nota de crédito",'Detalle documentos'!$F$6:$F$33,"ACEPTADO")</f>
        <v>272.8</v>
      </c>
      <c r="R6" s="17">
        <f>G6+L6-Q6</f>
        <v>1217.04</v>
      </c>
    </row>
    <row r="7" spans="1:18">
      <c r="A7" s="14" t="s">
        <v>34</v>
      </c>
      <c r="B7" s="14" t="s">
        <v>35</v>
      </c>
      <c r="C7" s="15">
        <f>COUNTIFS('Detalle documentos'!$D$6:$D$33,$B7,'Detalle documentos'!$B$6:$B$33,"Boleta")</f>
        <v>0.0</v>
      </c>
      <c r="D7" s="15">
        <f>COUNTIFS('Detalle documentos'!$D$6:$D$33,$B7,'Detalle documentos'!$B$6:$B$33,"Boleta",'Detalle documentos'!$F$6:$F$33,"ACEPTADO")</f>
        <v>0.0</v>
      </c>
      <c r="E7" s="15">
        <f>COUNTIFS('Detalle documentos'!$D$6:$D$33,$B7,'Detalle documentos'!$B$6:$B$33,"Boleta",'Detalle documentos'!$F$6:$F$33,"RECHAZADO")</f>
        <v>0.0</v>
      </c>
      <c r="F7" s="15">
        <f>C7-D7-E7</f>
        <v>0.0</v>
      </c>
      <c r="G7" s="17">
        <f>SUMIFS('Detalle documentos'!$H$6:$H$33,'Detalle documentos'!$D$6:$D$33,$B7,'Detalle documentos'!$B$6:$B$33,"Boleta",'Detalle documentos'!$F$6:$F$33,"ACEPTADO")</f>
        <v>0.0</v>
      </c>
      <c r="H7" s="15">
        <f>COUNTIFS('Detalle documentos'!$D$6:$D$33,$B7,'Detalle documentos'!$B$6:$B$33,"Factura")</f>
        <v>1.0</v>
      </c>
      <c r="I7" s="15">
        <f>COUNTIFS('Detalle documentos'!$D$6:$D$33,$B7,'Detalle documentos'!$B$6:$B$33,"Factura",'Detalle documentos'!$F$6:$F$33,"ACEPTADO")</f>
        <v>1.0</v>
      </c>
      <c r="J7" s="15">
        <f>COUNTIFS('Detalle documentos'!$D$6:$D$33,$B7,'Detalle documentos'!$B$6:$B$33,"Factura",'Detalle documentos'!$F$6:$F$33,"RECHAZADO")</f>
        <v>0.0</v>
      </c>
      <c r="K7" s="15">
        <f>H7-I7-J7</f>
        <v>0.0</v>
      </c>
      <c r="L7" s="17">
        <f>SUMIFS('Detalle documentos'!$H$6:$H$33,'Detalle documentos'!$D$6:$D$33,$B7,'Detalle documentos'!$B$6:$B$33,"Factura",'Detalle documentos'!$F$6:$F$33,"ACEPTADO")</f>
        <v>372.9</v>
      </c>
      <c r="M7" s="15">
        <f>COUNTIFS('Detalle documentos'!$D$6:$D$33,$B7,'Detalle documentos'!$B$6:$B$33,"Nota de crédito")</f>
        <v>0.0</v>
      </c>
      <c r="N7" s="15">
        <f>COUNTIFS('Detalle documentos'!$D$6:$D$33,$B7,'Detalle documentos'!$B$6:$B$33,"Nota de crédito",'Detalle documentos'!$F$6:$F$33,"ACEPTADO")</f>
        <v>0.0</v>
      </c>
      <c r="O7" s="15">
        <f>COUNTIFS('Detalle documentos'!$D$6:$D$33,$B7,'Detalle documentos'!$B$6:$B$33,"Nota de crédito",'Detalle documentos'!$F$6:$F$33,"RECHAZADO")</f>
        <v>0.0</v>
      </c>
      <c r="P7" s="15">
        <f>M7-N7-O7</f>
        <v>0.0</v>
      </c>
      <c r="Q7" s="17">
        <f>SUMIFS('Detalle documentos'!$H$6:$H$33,'Detalle documentos'!$D$6:$D$33,$B7,'Detalle documentos'!$B$6:$B$33,"Nota de crédito",'Detalle documentos'!$F$6:$F$33,"ACEPTADO")</f>
        <v>0.0</v>
      </c>
      <c r="R7" s="17">
        <f>G7+L7-Q7</f>
        <v>372.9</v>
      </c>
    </row>
    <row r="8" spans="1:18">
      <c r="A8" s="14" t="s">
        <v>36</v>
      </c>
      <c r="B8" s="14" t="s">
        <v>37</v>
      </c>
      <c r="C8" s="15">
        <f>COUNTIFS('Detalle documentos'!$D$6:$D$33,$B8,'Detalle documentos'!$B$6:$B$33,"Boleta")</f>
        <v>7.0</v>
      </c>
      <c r="D8" s="15">
        <f>COUNTIFS('Detalle documentos'!$D$6:$D$33,$B8,'Detalle documentos'!$B$6:$B$33,"Boleta",'Detalle documentos'!$F$6:$F$33,"ACEPTADO")</f>
        <v>7.0</v>
      </c>
      <c r="E8" s="15">
        <f>COUNTIFS('Detalle documentos'!$D$6:$D$33,$B8,'Detalle documentos'!$B$6:$B$33,"Boleta",'Detalle documentos'!$F$6:$F$33,"RECHAZADO")</f>
        <v>0.0</v>
      </c>
      <c r="F8" s="15">
        <f>C8-D8-E8</f>
        <v>0.0</v>
      </c>
      <c r="G8" s="17">
        <f>SUMIFS('Detalle documentos'!$H$6:$H$33,'Detalle documentos'!$D$6:$D$33,$B8,'Detalle documentos'!$B$6:$B$33,"Boleta",'Detalle documentos'!$F$6:$F$33,"ACEPTADO")</f>
        <v>314.54</v>
      </c>
      <c r="H8" s="15">
        <f>COUNTIFS('Detalle documentos'!$D$6:$D$33,$B8,'Detalle documentos'!$B$6:$B$33,"Factura")</f>
        <v>0.0</v>
      </c>
      <c r="I8" s="15">
        <f>COUNTIFS('Detalle documentos'!$D$6:$D$33,$B8,'Detalle documentos'!$B$6:$B$33,"Factura",'Detalle documentos'!$F$6:$F$33,"ACEPTADO")</f>
        <v>0.0</v>
      </c>
      <c r="J8" s="15">
        <f>COUNTIFS('Detalle documentos'!$D$6:$D$33,$B8,'Detalle documentos'!$B$6:$B$33,"Factura",'Detalle documentos'!$F$6:$F$33,"RECHAZADO")</f>
        <v>0.0</v>
      </c>
      <c r="K8" s="15">
        <f>H8-I8-J8</f>
        <v>0.0</v>
      </c>
      <c r="L8" s="17">
        <f>SUMIFS('Detalle documentos'!$H$6:$H$33,'Detalle documentos'!$D$6:$D$33,$B8,'Detalle documentos'!$B$6:$B$33,"Factura",'Detalle documentos'!$F$6:$F$33,"ACEPTADO")</f>
        <v>0.0</v>
      </c>
      <c r="M8" s="15">
        <f>COUNTIFS('Detalle documentos'!$D$6:$D$33,$B8,'Detalle documentos'!$B$6:$B$33,"Nota de crédito")</f>
        <v>0.0</v>
      </c>
      <c r="N8" s="15">
        <f>COUNTIFS('Detalle documentos'!$D$6:$D$33,$B8,'Detalle documentos'!$B$6:$B$33,"Nota de crédito",'Detalle documentos'!$F$6:$F$33,"ACEPTADO")</f>
        <v>0.0</v>
      </c>
      <c r="O8" s="15">
        <f>COUNTIFS('Detalle documentos'!$D$6:$D$33,$B8,'Detalle documentos'!$B$6:$B$33,"Nota de crédito",'Detalle documentos'!$F$6:$F$33,"RECHAZADO")</f>
        <v>0.0</v>
      </c>
      <c r="P8" s="15">
        <f>M8-N8-O8</f>
        <v>0.0</v>
      </c>
      <c r="Q8" s="17">
        <f>SUMIFS('Detalle documentos'!$H$6:$H$33,'Detalle documentos'!$D$6:$D$33,$B8,'Detalle documentos'!$B$6:$B$33,"Nota de crédito",'Detalle documentos'!$F$6:$F$33,"ACEPTADO")</f>
        <v>0.0</v>
      </c>
      <c r="R8" s="17">
        <f>G8+L8-Q8</f>
        <v>314.54</v>
      </c>
    </row>
    <row r="9" spans="1:18">
      <c r="A9" s="14" t="s">
        <v>38</v>
      </c>
      <c r="B9" s="14" t="s">
        <v>39</v>
      </c>
      <c r="C9" s="15">
        <f>COUNTIFS('Detalle documentos'!$D$6:$D$33,$B9,'Detalle documentos'!$B$6:$B$33,"Boleta")</f>
        <v>1.0</v>
      </c>
      <c r="D9" s="15">
        <f>COUNTIFS('Detalle documentos'!$D$6:$D$33,$B9,'Detalle documentos'!$B$6:$B$33,"Boleta",'Detalle documentos'!$F$6:$F$33,"ACEPTADO")</f>
        <v>1.0</v>
      </c>
      <c r="E9" s="15">
        <f>COUNTIFS('Detalle documentos'!$D$6:$D$33,$B9,'Detalle documentos'!$B$6:$B$33,"Boleta",'Detalle documentos'!$F$6:$F$33,"RECHAZADO")</f>
        <v>0.0</v>
      </c>
      <c r="F9" s="15">
        <f>C9-D9-E9</f>
        <v>0.0</v>
      </c>
      <c r="G9" s="17">
        <f>SUMIFS('Detalle documentos'!$H$6:$H$33,'Detalle documentos'!$D$6:$D$33,$B9,'Detalle documentos'!$B$6:$B$33,"Boleta",'Detalle documentos'!$F$6:$F$33,"ACEPTADO")</f>
        <v>10.0</v>
      </c>
      <c r="H9" s="15">
        <f>COUNTIFS('Detalle documentos'!$D$6:$D$33,$B9,'Detalle documentos'!$B$6:$B$33,"Factura")</f>
        <v>0.0</v>
      </c>
      <c r="I9" s="15">
        <f>COUNTIFS('Detalle documentos'!$D$6:$D$33,$B9,'Detalle documentos'!$B$6:$B$33,"Factura",'Detalle documentos'!$F$6:$F$33,"ACEPTADO")</f>
        <v>0.0</v>
      </c>
      <c r="J9" s="15">
        <f>COUNTIFS('Detalle documentos'!$D$6:$D$33,$B9,'Detalle documentos'!$B$6:$B$33,"Factura",'Detalle documentos'!$F$6:$F$33,"RECHAZADO")</f>
        <v>0.0</v>
      </c>
      <c r="K9" s="15">
        <f>H9-I9-J9</f>
        <v>0.0</v>
      </c>
      <c r="L9" s="17">
        <f>SUMIFS('Detalle documentos'!$H$6:$H$33,'Detalle documentos'!$D$6:$D$33,$B9,'Detalle documentos'!$B$6:$B$33,"Factura",'Detalle documentos'!$F$6:$F$33,"ACEPTADO")</f>
        <v>0.0</v>
      </c>
      <c r="M9" s="15">
        <f>COUNTIFS('Detalle documentos'!$D$6:$D$33,$B9,'Detalle documentos'!$B$6:$B$33,"Nota de crédito")</f>
        <v>0.0</v>
      </c>
      <c r="N9" s="15">
        <f>COUNTIFS('Detalle documentos'!$D$6:$D$33,$B9,'Detalle documentos'!$B$6:$B$33,"Nota de crédito",'Detalle documentos'!$F$6:$F$33,"ACEPTADO")</f>
        <v>0.0</v>
      </c>
      <c r="O9" s="15">
        <f>COUNTIFS('Detalle documentos'!$D$6:$D$33,$B9,'Detalle documentos'!$B$6:$B$33,"Nota de crédito",'Detalle documentos'!$F$6:$F$33,"RECHAZADO")</f>
        <v>0.0</v>
      </c>
      <c r="P9" s="15">
        <f>M9-N9-O9</f>
        <v>0.0</v>
      </c>
      <c r="Q9" s="17">
        <f>SUMIFS('Detalle documentos'!$H$6:$H$33,'Detalle documentos'!$D$6:$D$33,$B9,'Detalle documentos'!$B$6:$B$33,"Nota de crédito",'Detalle documentos'!$F$6:$F$33,"ACEPTADO")</f>
        <v>0.0</v>
      </c>
      <c r="R9" s="17">
        <f>G9+L9-Q9</f>
        <v>10.0</v>
      </c>
    </row>
    <row r="10" spans="1:18">
      <c r="A10" s="14" t="s">
        <v>40</v>
      </c>
      <c r="B10" s="14" t="s">
        <v>41</v>
      </c>
      <c r="C10" s="15">
        <f>COUNTIFS('Detalle documentos'!$D$6:$D$33,$B10,'Detalle documentos'!$B$6:$B$33,"Boleta")</f>
        <v>0.0</v>
      </c>
      <c r="D10" s="15">
        <f>COUNTIFS('Detalle documentos'!$D$6:$D$33,$B10,'Detalle documentos'!$B$6:$B$33,"Boleta",'Detalle documentos'!$F$6:$F$33,"ACEPTADO")</f>
        <v>0.0</v>
      </c>
      <c r="E10" s="15">
        <f>COUNTIFS('Detalle documentos'!$D$6:$D$33,$B10,'Detalle documentos'!$B$6:$B$33,"Boleta",'Detalle documentos'!$F$6:$F$33,"RECHAZADO")</f>
        <v>0.0</v>
      </c>
      <c r="F10" s="15">
        <f>C10-D10-E10</f>
        <v>0.0</v>
      </c>
      <c r="G10" s="17">
        <f>SUMIFS('Detalle documentos'!$H$6:$H$33,'Detalle documentos'!$D$6:$D$33,$B10,'Detalle documentos'!$B$6:$B$33,"Boleta",'Detalle documentos'!$F$6:$F$33,"ACEPTADO")</f>
        <v>0.0</v>
      </c>
      <c r="H10" s="15">
        <f>COUNTIFS('Detalle documentos'!$D$6:$D$33,$B10,'Detalle documentos'!$B$6:$B$33,"Factura")</f>
        <v>0.0</v>
      </c>
      <c r="I10" s="15">
        <f>COUNTIFS('Detalle documentos'!$D$6:$D$33,$B10,'Detalle documentos'!$B$6:$B$33,"Factura",'Detalle documentos'!$F$6:$F$33,"ACEPTADO")</f>
        <v>0.0</v>
      </c>
      <c r="J10" s="15">
        <f>COUNTIFS('Detalle documentos'!$D$6:$D$33,$B10,'Detalle documentos'!$B$6:$B$33,"Factura",'Detalle documentos'!$F$6:$F$33,"RECHAZADO")</f>
        <v>0.0</v>
      </c>
      <c r="K10" s="15">
        <f>H10-I10-J10</f>
        <v>0.0</v>
      </c>
      <c r="L10" s="17">
        <f>SUMIFS('Detalle documentos'!$H$6:$H$33,'Detalle documentos'!$D$6:$D$33,$B10,'Detalle documentos'!$B$6:$B$33,"Factura",'Detalle documentos'!$F$6:$F$33,"ACEPTADO")</f>
        <v>0.0</v>
      </c>
      <c r="M10" s="15">
        <f>COUNTIFS('Detalle documentos'!$D$6:$D$33,$B10,'Detalle documentos'!$B$6:$B$33,"Nota de crédito")</f>
        <v>0.0</v>
      </c>
      <c r="N10" s="15">
        <f>COUNTIFS('Detalle documentos'!$D$6:$D$33,$B10,'Detalle documentos'!$B$6:$B$33,"Nota de crédito",'Detalle documentos'!$F$6:$F$33,"ACEPTADO")</f>
        <v>0.0</v>
      </c>
      <c r="O10" s="15">
        <f>COUNTIFS('Detalle documentos'!$D$6:$D$33,$B10,'Detalle documentos'!$B$6:$B$33,"Nota de crédito",'Detalle documentos'!$F$6:$F$33,"RECHAZADO")</f>
        <v>0.0</v>
      </c>
      <c r="P10" s="15">
        <f>M10-N10-O10</f>
        <v>0.0</v>
      </c>
      <c r="Q10" s="17">
        <f>SUMIFS('Detalle documentos'!$H$6:$H$33,'Detalle documentos'!$D$6:$D$33,$B10,'Detalle documentos'!$B$6:$B$33,"Nota de crédito",'Detalle documentos'!$F$6:$F$33,"ACEPTADO")</f>
        <v>0.0</v>
      </c>
      <c r="R10" s="17">
        <f>G10+L10-Q10</f>
        <v>0.0</v>
      </c>
    </row>
    <row r="11" spans="1:18">
      <c r="A11" s="14" t="s">
        <v>42</v>
      </c>
      <c r="B11" s="14" t="s">
        <v>43</v>
      </c>
      <c r="C11" s="15">
        <f>COUNTIFS('Detalle documentos'!$D$6:$D$33,$B11,'Detalle documentos'!$B$6:$B$33,"Boleta")</f>
        <v>0.0</v>
      </c>
      <c r="D11" s="15">
        <f>COUNTIFS('Detalle documentos'!$D$6:$D$33,$B11,'Detalle documentos'!$B$6:$B$33,"Boleta",'Detalle documentos'!$F$6:$F$33,"ACEPTADO")</f>
        <v>0.0</v>
      </c>
      <c r="E11" s="15">
        <f>COUNTIFS('Detalle documentos'!$D$6:$D$33,$B11,'Detalle documentos'!$B$6:$B$33,"Boleta",'Detalle documentos'!$F$6:$F$33,"RECHAZADO")</f>
        <v>0.0</v>
      </c>
      <c r="F11" s="15">
        <f>C11-D11-E11</f>
        <v>0.0</v>
      </c>
      <c r="G11" s="17">
        <f>SUMIFS('Detalle documentos'!$H$6:$H$33,'Detalle documentos'!$D$6:$D$33,$B11,'Detalle documentos'!$B$6:$B$33,"Boleta",'Detalle documentos'!$F$6:$F$33,"ACEPTADO")</f>
        <v>0.0</v>
      </c>
      <c r="H11" s="15">
        <f>COUNTIFS('Detalle documentos'!$D$6:$D$33,$B11,'Detalle documentos'!$B$6:$B$33,"Factura")</f>
        <v>0.0</v>
      </c>
      <c r="I11" s="15">
        <f>COUNTIFS('Detalle documentos'!$D$6:$D$33,$B11,'Detalle documentos'!$B$6:$B$33,"Factura",'Detalle documentos'!$F$6:$F$33,"ACEPTADO")</f>
        <v>0.0</v>
      </c>
      <c r="J11" s="15">
        <f>COUNTIFS('Detalle documentos'!$D$6:$D$33,$B11,'Detalle documentos'!$B$6:$B$33,"Factura",'Detalle documentos'!$F$6:$F$33,"RECHAZADO")</f>
        <v>0.0</v>
      </c>
      <c r="K11" s="15">
        <f>H11-I11-J11</f>
        <v>0.0</v>
      </c>
      <c r="L11" s="17">
        <f>SUMIFS('Detalle documentos'!$H$6:$H$33,'Detalle documentos'!$D$6:$D$33,$B11,'Detalle documentos'!$B$6:$B$33,"Factura",'Detalle documentos'!$F$6:$F$33,"ACEPTADO")</f>
        <v>0.0</v>
      </c>
      <c r="M11" s="15">
        <f>COUNTIFS('Detalle documentos'!$D$6:$D$33,$B11,'Detalle documentos'!$B$6:$B$33,"Nota de crédito")</f>
        <v>0.0</v>
      </c>
      <c r="N11" s="15">
        <f>COUNTIFS('Detalle documentos'!$D$6:$D$33,$B11,'Detalle documentos'!$B$6:$B$33,"Nota de crédito",'Detalle documentos'!$F$6:$F$33,"ACEPTADO")</f>
        <v>0.0</v>
      </c>
      <c r="O11" s="15">
        <f>COUNTIFS('Detalle documentos'!$D$6:$D$33,$B11,'Detalle documentos'!$B$6:$B$33,"Nota de crédito",'Detalle documentos'!$F$6:$F$33,"RECHAZADO")</f>
        <v>0.0</v>
      </c>
      <c r="P11" s="15">
        <f>M11-N11-O11</f>
        <v>0.0</v>
      </c>
      <c r="Q11" s="17">
        <f>SUMIFS('Detalle documentos'!$H$6:$H$33,'Detalle documentos'!$D$6:$D$33,$B11,'Detalle documentos'!$B$6:$B$33,"Nota de crédito",'Detalle documentos'!$F$6:$F$33,"ACEPTADO")</f>
        <v>0.0</v>
      </c>
      <c r="R11" s="17">
        <f>G11+L11-Q11</f>
        <v>0.0</v>
      </c>
    </row>
    <row r="12" spans="1:18">
      <c r="A12" s="14" t="s">
        <v>44</v>
      </c>
      <c r="B12" s="14" t="s">
        <v>45</v>
      </c>
      <c r="C12" s="15">
        <f>COUNTIFS('Detalle documentos'!$D$6:$D$33,$B12,'Detalle documentos'!$B$6:$B$33,"Boleta")</f>
        <v>0.0</v>
      </c>
      <c r="D12" s="15">
        <f>COUNTIFS('Detalle documentos'!$D$6:$D$33,$B12,'Detalle documentos'!$B$6:$B$33,"Boleta",'Detalle documentos'!$F$6:$F$33,"ACEPTADO")</f>
        <v>0.0</v>
      </c>
      <c r="E12" s="15">
        <f>COUNTIFS('Detalle documentos'!$D$6:$D$33,$B12,'Detalle documentos'!$B$6:$B$33,"Boleta",'Detalle documentos'!$F$6:$F$33,"RECHAZADO")</f>
        <v>0.0</v>
      </c>
      <c r="F12" s="15">
        <f>C12-D12-E12</f>
        <v>0.0</v>
      </c>
      <c r="G12" s="17">
        <f>SUMIFS('Detalle documentos'!$H$6:$H$33,'Detalle documentos'!$D$6:$D$33,$B12,'Detalle documentos'!$B$6:$B$33,"Boleta",'Detalle documentos'!$F$6:$F$33,"ACEPTADO")</f>
        <v>0.0</v>
      </c>
      <c r="H12" s="15">
        <f>COUNTIFS('Detalle documentos'!$D$6:$D$33,$B12,'Detalle documentos'!$B$6:$B$33,"Factura")</f>
        <v>0.0</v>
      </c>
      <c r="I12" s="15">
        <f>COUNTIFS('Detalle documentos'!$D$6:$D$33,$B12,'Detalle documentos'!$B$6:$B$33,"Factura",'Detalle documentos'!$F$6:$F$33,"ACEPTADO")</f>
        <v>0.0</v>
      </c>
      <c r="J12" s="15">
        <f>COUNTIFS('Detalle documentos'!$D$6:$D$33,$B12,'Detalle documentos'!$B$6:$B$33,"Factura",'Detalle documentos'!$F$6:$F$33,"RECHAZADO")</f>
        <v>0.0</v>
      </c>
      <c r="K12" s="15">
        <f>H12-I12-J12</f>
        <v>0.0</v>
      </c>
      <c r="L12" s="17">
        <f>SUMIFS('Detalle documentos'!$H$6:$H$33,'Detalle documentos'!$D$6:$D$33,$B12,'Detalle documentos'!$B$6:$B$33,"Factura",'Detalle documentos'!$F$6:$F$33,"ACEPTADO")</f>
        <v>0.0</v>
      </c>
      <c r="M12" s="15">
        <f>COUNTIFS('Detalle documentos'!$D$6:$D$33,$B12,'Detalle documentos'!$B$6:$B$33,"Nota de crédito")</f>
        <v>0.0</v>
      </c>
      <c r="N12" s="15">
        <f>COUNTIFS('Detalle documentos'!$D$6:$D$33,$B12,'Detalle documentos'!$B$6:$B$33,"Nota de crédito",'Detalle documentos'!$F$6:$F$33,"ACEPTADO")</f>
        <v>0.0</v>
      </c>
      <c r="O12" s="15">
        <f>COUNTIFS('Detalle documentos'!$D$6:$D$33,$B12,'Detalle documentos'!$B$6:$B$33,"Nota de crédito",'Detalle documentos'!$F$6:$F$33,"RECHAZADO")</f>
        <v>0.0</v>
      </c>
      <c r="P12" s="15">
        <f>M12-N12-O12</f>
        <v>0.0</v>
      </c>
      <c r="Q12" s="17">
        <f>SUMIFS('Detalle documentos'!$H$6:$H$33,'Detalle documentos'!$D$6:$D$33,$B12,'Detalle documentos'!$B$6:$B$33,"Nota de crédito",'Detalle documentos'!$F$6:$F$33,"ACEPTADO")</f>
        <v>0.0</v>
      </c>
      <c r="R12" s="17">
        <f>G12+L12-Q12</f>
        <v>0.0</v>
      </c>
    </row>
    <row r="13" spans="1:18">
      <c r="A13" s="14" t="s">
        <v>46</v>
      </c>
      <c r="B13" s="14" t="s">
        <v>47</v>
      </c>
      <c r="C13" s="15">
        <f>COUNTIFS('Detalle documentos'!$D$6:$D$33,$B13,'Detalle documentos'!$B$6:$B$33,"Boleta")</f>
        <v>0.0</v>
      </c>
      <c r="D13" s="15">
        <f>COUNTIFS('Detalle documentos'!$D$6:$D$33,$B13,'Detalle documentos'!$B$6:$B$33,"Boleta",'Detalle documentos'!$F$6:$F$33,"ACEPTADO")</f>
        <v>0.0</v>
      </c>
      <c r="E13" s="15">
        <f>COUNTIFS('Detalle documentos'!$D$6:$D$33,$B13,'Detalle documentos'!$B$6:$B$33,"Boleta",'Detalle documentos'!$F$6:$F$33,"RECHAZADO")</f>
        <v>0.0</v>
      </c>
      <c r="F13" s="15">
        <f>C13-D13-E13</f>
        <v>0.0</v>
      </c>
      <c r="G13" s="17">
        <f>SUMIFS('Detalle documentos'!$H$6:$H$33,'Detalle documentos'!$D$6:$D$33,$B13,'Detalle documentos'!$B$6:$B$33,"Boleta",'Detalle documentos'!$F$6:$F$33,"ACEPTADO")</f>
        <v>0.0</v>
      </c>
      <c r="H13" s="15">
        <f>COUNTIFS('Detalle documentos'!$D$6:$D$33,$B13,'Detalle documentos'!$B$6:$B$33,"Factura")</f>
        <v>0.0</v>
      </c>
      <c r="I13" s="15">
        <f>COUNTIFS('Detalle documentos'!$D$6:$D$33,$B13,'Detalle documentos'!$B$6:$B$33,"Factura",'Detalle documentos'!$F$6:$F$33,"ACEPTADO")</f>
        <v>0.0</v>
      </c>
      <c r="J13" s="15">
        <f>COUNTIFS('Detalle documentos'!$D$6:$D$33,$B13,'Detalle documentos'!$B$6:$B$33,"Factura",'Detalle documentos'!$F$6:$F$33,"RECHAZADO")</f>
        <v>0.0</v>
      </c>
      <c r="K13" s="15">
        <f>H13-I13-J13</f>
        <v>0.0</v>
      </c>
      <c r="L13" s="17">
        <f>SUMIFS('Detalle documentos'!$H$6:$H$33,'Detalle documentos'!$D$6:$D$33,$B13,'Detalle documentos'!$B$6:$B$33,"Factura",'Detalle documentos'!$F$6:$F$33,"ACEPTADO")</f>
        <v>0.0</v>
      </c>
      <c r="M13" s="15">
        <f>COUNTIFS('Detalle documentos'!$D$6:$D$33,$B13,'Detalle documentos'!$B$6:$B$33,"Nota de crédito")</f>
        <v>0.0</v>
      </c>
      <c r="N13" s="15">
        <f>COUNTIFS('Detalle documentos'!$D$6:$D$33,$B13,'Detalle documentos'!$B$6:$B$33,"Nota de crédito",'Detalle documentos'!$F$6:$F$33,"ACEPTADO")</f>
        <v>0.0</v>
      </c>
      <c r="O13" s="15">
        <f>COUNTIFS('Detalle documentos'!$D$6:$D$33,$B13,'Detalle documentos'!$B$6:$B$33,"Nota de crédito",'Detalle documentos'!$F$6:$F$33,"RECHAZADO")</f>
        <v>0.0</v>
      </c>
      <c r="P13" s="15">
        <f>M13-N13-O13</f>
        <v>0.0</v>
      </c>
      <c r="Q13" s="17">
        <f>SUMIFS('Detalle documentos'!$H$6:$H$33,'Detalle documentos'!$D$6:$D$33,$B13,'Detalle documentos'!$B$6:$B$33,"Nota de crédito",'Detalle documentos'!$F$6:$F$33,"ACEPTADO")</f>
        <v>0.0</v>
      </c>
      <c r="R13" s="17">
        <f>G13+L13-Q13</f>
        <v>0.0</v>
      </c>
    </row>
    <row r="14" spans="1:18">
      <c r="A14" s="14" t="s">
        <v>48</v>
      </c>
      <c r="B14" s="14" t="s">
        <v>49</v>
      </c>
      <c r="C14" s="15">
        <f>COUNTIFS('Detalle documentos'!$D$6:$D$33,$B14,'Detalle documentos'!$B$6:$B$33,"Boleta")</f>
        <v>0.0</v>
      </c>
      <c r="D14" s="15">
        <f>COUNTIFS('Detalle documentos'!$D$6:$D$33,$B14,'Detalle documentos'!$B$6:$B$33,"Boleta",'Detalle documentos'!$F$6:$F$33,"ACEPTADO")</f>
        <v>0.0</v>
      </c>
      <c r="E14" s="15">
        <f>COUNTIFS('Detalle documentos'!$D$6:$D$33,$B14,'Detalle documentos'!$B$6:$B$33,"Boleta",'Detalle documentos'!$F$6:$F$33,"RECHAZADO")</f>
        <v>0.0</v>
      </c>
      <c r="F14" s="15">
        <f>C14-D14-E14</f>
        <v>0.0</v>
      </c>
      <c r="G14" s="17">
        <f>SUMIFS('Detalle documentos'!$H$6:$H$33,'Detalle documentos'!$D$6:$D$33,$B14,'Detalle documentos'!$B$6:$B$33,"Boleta",'Detalle documentos'!$F$6:$F$33,"ACEPTADO")</f>
        <v>0.0</v>
      </c>
      <c r="H14" s="15">
        <f>COUNTIFS('Detalle documentos'!$D$6:$D$33,$B14,'Detalle documentos'!$B$6:$B$33,"Factura")</f>
        <v>0.0</v>
      </c>
      <c r="I14" s="15">
        <f>COUNTIFS('Detalle documentos'!$D$6:$D$33,$B14,'Detalle documentos'!$B$6:$B$33,"Factura",'Detalle documentos'!$F$6:$F$33,"ACEPTADO")</f>
        <v>0.0</v>
      </c>
      <c r="J14" s="15">
        <f>COUNTIFS('Detalle documentos'!$D$6:$D$33,$B14,'Detalle documentos'!$B$6:$B$33,"Factura",'Detalle documentos'!$F$6:$F$33,"RECHAZADO")</f>
        <v>0.0</v>
      </c>
      <c r="K14" s="15">
        <f>H14-I14-J14</f>
        <v>0.0</v>
      </c>
      <c r="L14" s="17">
        <f>SUMIFS('Detalle documentos'!$H$6:$H$33,'Detalle documentos'!$D$6:$D$33,$B14,'Detalle documentos'!$B$6:$B$33,"Factura",'Detalle documentos'!$F$6:$F$33,"ACEPTADO")</f>
        <v>0.0</v>
      </c>
      <c r="M14" s="15">
        <f>COUNTIFS('Detalle documentos'!$D$6:$D$33,$B14,'Detalle documentos'!$B$6:$B$33,"Nota de crédito")</f>
        <v>0.0</v>
      </c>
      <c r="N14" s="15">
        <f>COUNTIFS('Detalle documentos'!$D$6:$D$33,$B14,'Detalle documentos'!$B$6:$B$33,"Nota de crédito",'Detalle documentos'!$F$6:$F$33,"ACEPTADO")</f>
        <v>0.0</v>
      </c>
      <c r="O14" s="15">
        <f>COUNTIFS('Detalle documentos'!$D$6:$D$33,$B14,'Detalle documentos'!$B$6:$B$33,"Nota de crédito",'Detalle documentos'!$F$6:$F$33,"RECHAZADO")</f>
        <v>0.0</v>
      </c>
      <c r="P14" s="15">
        <f>M14-N14-O14</f>
        <v>0.0</v>
      </c>
      <c r="Q14" s="17">
        <f>SUMIFS('Detalle documentos'!$H$6:$H$33,'Detalle documentos'!$D$6:$D$33,$B14,'Detalle documentos'!$B$6:$B$33,"Nota de crédito",'Detalle documentos'!$F$6:$F$33,"ACEPTADO")</f>
        <v>0.0</v>
      </c>
      <c r="R14" s="17">
        <f>G14+L14-Q14</f>
        <v>0.0</v>
      </c>
    </row>
    <row r="15" spans="1:18">
      <c r="A15" s="14" t="s">
        <v>50</v>
      </c>
      <c r="B15" s="14" t="s">
        <v>51</v>
      </c>
      <c r="C15" s="15">
        <f>COUNTIFS('Detalle documentos'!$D$6:$D$33,$B15,'Detalle documentos'!$B$6:$B$33,"Boleta")</f>
        <v>0.0</v>
      </c>
      <c r="D15" s="15">
        <f>COUNTIFS('Detalle documentos'!$D$6:$D$33,$B15,'Detalle documentos'!$B$6:$B$33,"Boleta",'Detalle documentos'!$F$6:$F$33,"ACEPTADO")</f>
        <v>0.0</v>
      </c>
      <c r="E15" s="15">
        <f>COUNTIFS('Detalle documentos'!$D$6:$D$33,$B15,'Detalle documentos'!$B$6:$B$33,"Boleta",'Detalle documentos'!$F$6:$F$33,"RECHAZADO")</f>
        <v>0.0</v>
      </c>
      <c r="F15" s="15">
        <f>C15-D15-E15</f>
        <v>0.0</v>
      </c>
      <c r="G15" s="17">
        <f>SUMIFS('Detalle documentos'!$H$6:$H$33,'Detalle documentos'!$D$6:$D$33,$B15,'Detalle documentos'!$B$6:$B$33,"Boleta",'Detalle documentos'!$F$6:$F$33,"ACEPTADO")</f>
        <v>0.0</v>
      </c>
      <c r="H15" s="15">
        <f>COUNTIFS('Detalle documentos'!$D$6:$D$33,$B15,'Detalle documentos'!$B$6:$B$33,"Factura")</f>
        <v>0.0</v>
      </c>
      <c r="I15" s="15">
        <f>COUNTIFS('Detalle documentos'!$D$6:$D$33,$B15,'Detalle documentos'!$B$6:$B$33,"Factura",'Detalle documentos'!$F$6:$F$33,"ACEPTADO")</f>
        <v>0.0</v>
      </c>
      <c r="J15" s="15">
        <f>COUNTIFS('Detalle documentos'!$D$6:$D$33,$B15,'Detalle documentos'!$B$6:$B$33,"Factura",'Detalle documentos'!$F$6:$F$33,"RECHAZADO")</f>
        <v>0.0</v>
      </c>
      <c r="K15" s="15">
        <f>H15-I15-J15</f>
        <v>0.0</v>
      </c>
      <c r="L15" s="17">
        <f>SUMIFS('Detalle documentos'!$H$6:$H$33,'Detalle documentos'!$D$6:$D$33,$B15,'Detalle documentos'!$B$6:$B$33,"Factura",'Detalle documentos'!$F$6:$F$33,"ACEPTADO")</f>
        <v>0.0</v>
      </c>
      <c r="M15" s="15">
        <f>COUNTIFS('Detalle documentos'!$D$6:$D$33,$B15,'Detalle documentos'!$B$6:$B$33,"Nota de crédito")</f>
        <v>3.0</v>
      </c>
      <c r="N15" s="15">
        <f>COUNTIFS('Detalle documentos'!$D$6:$D$33,$B15,'Detalle documentos'!$B$6:$B$33,"Nota de crédito",'Detalle documentos'!$F$6:$F$33,"ACEPTADO")</f>
        <v>3.0</v>
      </c>
      <c r="O15" s="15">
        <f>COUNTIFS('Detalle documentos'!$D$6:$D$33,$B15,'Detalle documentos'!$B$6:$B$33,"Nota de crédito",'Detalle documentos'!$F$6:$F$33,"RECHAZADO")</f>
        <v>0.0</v>
      </c>
      <c r="P15" s="15">
        <f>M15-N15-O15</f>
        <v>0.0</v>
      </c>
      <c r="Q15" s="17">
        <f>SUMIFS('Detalle documentos'!$H$6:$H$33,'Detalle documentos'!$D$6:$D$33,$B15,'Detalle documentos'!$B$6:$B$33,"Nota de crédito",'Detalle documentos'!$F$6:$F$33,"ACEPTADO")</f>
        <v>250.66</v>
      </c>
      <c r="R15" s="17">
        <f>G15+L15-Q15</f>
        <v>-250.66</v>
      </c>
    </row>
    <row r="16" spans="1:18">
      <c r="A16" s="18" t="s">
        <v>52</v>
      </c>
      <c r="B16" s="18"/>
      <c r="C16" s="19">
        <f>SUM(C6:C15)</f>
        <v>20.0</v>
      </c>
      <c r="D16" s="19">
        <f>SUM(D6:D15)</f>
        <v>19.0</v>
      </c>
      <c r="E16" s="19">
        <f>SUM(E6:E15)</f>
        <v>0.0</v>
      </c>
      <c r="F16" s="19">
        <f>SUM(F6:F15)</f>
        <v>1.0</v>
      </c>
      <c r="G16" s="20">
        <f>SUM(G6:G15)</f>
        <v>1621.58</v>
      </c>
      <c r="H16" s="19">
        <f>SUM(H6:H15)</f>
        <v>3.0</v>
      </c>
      <c r="I16" s="19">
        <f>SUM(I6:I15)</f>
        <v>3.0</v>
      </c>
      <c r="J16" s="19">
        <f>SUM(J6:J15)</f>
        <v>0.0</v>
      </c>
      <c r="K16" s="19">
        <f>SUM(K6:K15)</f>
        <v>0.0</v>
      </c>
      <c r="L16" s="20">
        <f>SUM(L6:L15)</f>
        <v>565.7</v>
      </c>
      <c r="M16" s="19">
        <f>SUM(M6:M15)</f>
        <v>5.0</v>
      </c>
      <c r="N16" s="19">
        <f>SUM(N6:N15)</f>
        <v>5.0</v>
      </c>
      <c r="O16" s="19">
        <f>SUM(O6:O15)</f>
        <v>0.0</v>
      </c>
      <c r="P16" s="19">
        <f>SUM(P6:P15)</f>
        <v>0.0</v>
      </c>
      <c r="Q16" s="20">
        <f>SUM(Q6:Q15)</f>
        <v>523.46</v>
      </c>
      <c r="R16" s="20">
        <f>SUM(R6:R15)</f>
        <v>1663.82</v>
      </c>
    </row>
  </sheetData>
  <autoFilter ref="A5:R15"/>
  <mergeCells count="3">
    <mergeCell ref="A1:R1"/>
    <mergeCell ref="A2:R2"/>
    <mergeCell ref="A3:R3"/>
  </mergeCells>
  <conditionalFormatting sqref="E6:E15">
    <cfRule type="cellIs" dxfId="0" priority="2" operator="greaterThan">
      <formula>0</formula>
    </cfRule>
  </conditionalFormatting>
  <conditionalFormatting sqref="R6:R15">
    <cfRule type="colorScale" priority="1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pageMargins left="0.25" right="0.25" top="0.4" bottom="0.4" header="0.3" footer="0.3"/>
  <pageSetup orientation="landscape"/>
  <headerFooter>
    <oddHeader>&amp;LZentoFact&amp;CReporte mensual&amp;R&amp;P de &amp;N</oddHeader>
    <oddFooter>&amp;LJulio 2026&amp;CConfidencial&amp;RGenerado 31/07/2026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45309"/>
    <pageSetUpPr fitToPage="1"/>
  </sheetPr>
  <dimension ref="A1:N33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13.7109375" customWidth="1"/>
    <col min="2" max="2" width="17.7109375" customWidth="1"/>
    <col min="3" max="3" width="34.7109375" customWidth="1"/>
    <col min="4" max="4" width="14.7109375" customWidth="1"/>
    <col min="5" max="5" width="19.7109375" customWidth="1"/>
    <col min="6" max="6" width="15.7109375" customWidth="1"/>
    <col min="7" max="7" width="9.7109375" customWidth="1"/>
    <col min="8" max="8" width="15.7109375" customWidth="1"/>
    <col min="9" max="9" width="17.7109375" customWidth="1"/>
    <col min="10" max="10" width="20.7109375" customWidth="1"/>
    <col min="11" max="11" width="17.7109375" customWidth="1"/>
    <col min="12" max="12" width="32.7109375" customWidth="1"/>
    <col min="13" max="13" width="16.7109375" customWidth="1"/>
    <col min="14" max="14" width="10.7109375" hidden="1" customWidth="1"/>
  </cols>
  <sheetData>
    <row r="1" spans="1:14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12" t="s">
        <v>64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5" spans="1:14" ht="34" customHeight="1">
      <c r="A5" t="s">
        <v>127</v>
      </c>
      <c r="B5" t="s">
        <v>128</v>
      </c>
      <c r="C5" t="s">
        <v>14</v>
      </c>
      <c r="D5" t="s">
        <v>15</v>
      </c>
      <c r="E5" t="s">
        <v>129</v>
      </c>
      <c r="F5" t="s">
        <v>130</v>
      </c>
      <c r="G5" t="s">
        <v>131</v>
      </c>
      <c r="H5" t="s">
        <v>132</v>
      </c>
      <c r="I5" t="s">
        <v>133</v>
      </c>
      <c r="J5" t="s">
        <v>134</v>
      </c>
      <c r="K5" t="s">
        <v>135</v>
      </c>
      <c r="L5" t="s">
        <v>136</v>
      </c>
      <c r="M5" t="s">
        <v>137</v>
      </c>
      <c r="N5" t="s">
        <v>138</v>
      </c>
    </row>
    <row r="6" spans="1:14">
      <c r="A6" s="21">
        <v>46204</v>
      </c>
      <c r="B6" s="14" t="s">
        <v>65</v>
      </c>
      <c r="C6" s="14" t="s">
        <v>32</v>
      </c>
      <c r="D6" s="14" t="s">
        <v>33</v>
      </c>
      <c r="E6" s="14" t="s">
        <v>66</v>
      </c>
      <c r="F6" s="14" t="s">
        <v>67</v>
      </c>
      <c r="G6" s="14" t="s">
        <v>68</v>
      </c>
      <c r="H6" s="17">
        <v>47.94</v>
      </c>
      <c r="I6" s="14" t="s">
        <v>69</v>
      </c>
      <c r="J6" s="14"/>
      <c r="K6" s="14"/>
      <c r="L6" s="14"/>
      <c r="M6" s="14" t="s">
        <v>70</v>
      </c>
      <c r="N6" s="15">
        <v>4</v>
      </c>
    </row>
    <row r="7" spans="1:14">
      <c r="A7" s="21">
        <v>46204</v>
      </c>
      <c r="B7" s="14" t="s">
        <v>65</v>
      </c>
      <c r="C7" s="14" t="s">
        <v>32</v>
      </c>
      <c r="D7" s="14" t="s">
        <v>33</v>
      </c>
      <c r="E7" s="14" t="s">
        <v>71</v>
      </c>
      <c r="F7" s="14" t="s">
        <v>67</v>
      </c>
      <c r="G7" s="14" t="s">
        <v>68</v>
      </c>
      <c r="H7" s="17">
        <v>159.9</v>
      </c>
      <c r="I7" s="14" t="s">
        <v>72</v>
      </c>
      <c r="J7" s="14"/>
      <c r="K7" s="14"/>
      <c r="L7" s="14"/>
      <c r="M7" s="14" t="s">
        <v>70</v>
      </c>
      <c r="N7" s="15">
        <v>4</v>
      </c>
    </row>
    <row r="8" spans="1:14">
      <c r="A8" s="21">
        <v>46204</v>
      </c>
      <c r="B8" s="14" t="s">
        <v>65</v>
      </c>
      <c r="C8" s="14" t="s">
        <v>32</v>
      </c>
      <c r="D8" s="14" t="s">
        <v>33</v>
      </c>
      <c r="E8" s="14" t="s">
        <v>73</v>
      </c>
      <c r="F8" s="14" t="s">
        <v>67</v>
      </c>
      <c r="G8" s="14" t="s">
        <v>68</v>
      </c>
      <c r="H8" s="17">
        <v>17.96</v>
      </c>
      <c r="I8" s="14" t="s">
        <v>74</v>
      </c>
      <c r="J8" s="14"/>
      <c r="K8" s="14"/>
      <c r="L8" s="14"/>
      <c r="M8" s="14" t="s">
        <v>75</v>
      </c>
      <c r="N8" s="15">
        <v>4</v>
      </c>
    </row>
    <row r="9" spans="1:14">
      <c r="A9" s="21">
        <v>46204</v>
      </c>
      <c r="B9" s="14" t="s">
        <v>65</v>
      </c>
      <c r="C9" s="14" t="s">
        <v>32</v>
      </c>
      <c r="D9" s="14" t="s">
        <v>33</v>
      </c>
      <c r="E9" s="14" t="s">
        <v>76</v>
      </c>
      <c r="F9" s="14" t="s">
        <v>67</v>
      </c>
      <c r="G9" s="14" t="s">
        <v>68</v>
      </c>
      <c r="H9" s="17">
        <v>129.9</v>
      </c>
      <c r="I9" s="14" t="s">
        <v>77</v>
      </c>
      <c r="J9" s="14"/>
      <c r="K9" s="14"/>
      <c r="L9" s="14"/>
      <c r="M9" s="14" t="s">
        <v>75</v>
      </c>
      <c r="N9" s="15">
        <v>4</v>
      </c>
    </row>
    <row r="10" spans="1:14">
      <c r="A10" s="21">
        <v>46204</v>
      </c>
      <c r="B10" s="14" t="s">
        <v>65</v>
      </c>
      <c r="C10" s="14" t="s">
        <v>32</v>
      </c>
      <c r="D10" s="14" t="s">
        <v>33</v>
      </c>
      <c r="E10" s="14" t="s">
        <v>78</v>
      </c>
      <c r="F10" s="14" t="s">
        <v>67</v>
      </c>
      <c r="G10" s="14" t="s">
        <v>68</v>
      </c>
      <c r="H10" s="17">
        <v>61.78</v>
      </c>
      <c r="I10" s="14" t="s">
        <v>79</v>
      </c>
      <c r="J10" s="14"/>
      <c r="K10" s="14"/>
      <c r="L10" s="14"/>
      <c r="M10" s="14" t="s">
        <v>75</v>
      </c>
      <c r="N10" s="15">
        <v>4</v>
      </c>
    </row>
    <row r="11" spans="1:14">
      <c r="A11" s="21">
        <v>46204</v>
      </c>
      <c r="B11" s="14" t="s">
        <v>65</v>
      </c>
      <c r="C11" s="14" t="s">
        <v>32</v>
      </c>
      <c r="D11" s="14" t="s">
        <v>33</v>
      </c>
      <c r="E11" s="14" t="s">
        <v>80</v>
      </c>
      <c r="F11" s="14" t="s">
        <v>67</v>
      </c>
      <c r="G11" s="14" t="s">
        <v>68</v>
      </c>
      <c r="H11" s="17">
        <v>29.9</v>
      </c>
      <c r="I11" s="14" t="s">
        <v>81</v>
      </c>
      <c r="J11" s="14"/>
      <c r="K11" s="14"/>
      <c r="L11" s="14"/>
      <c r="M11" s="14" t="s">
        <v>75</v>
      </c>
      <c r="N11" s="15">
        <v>4</v>
      </c>
    </row>
    <row r="12" spans="1:14">
      <c r="A12" s="21">
        <v>46204</v>
      </c>
      <c r="B12" s="14" t="s">
        <v>65</v>
      </c>
      <c r="C12" s="14" t="s">
        <v>32</v>
      </c>
      <c r="D12" s="14" t="s">
        <v>33</v>
      </c>
      <c r="E12" s="14" t="s">
        <v>82</v>
      </c>
      <c r="F12" s="14" t="s">
        <v>67</v>
      </c>
      <c r="G12" s="14" t="s">
        <v>68</v>
      </c>
      <c r="H12" s="17">
        <v>42.82</v>
      </c>
      <c r="I12" s="14" t="s">
        <v>83</v>
      </c>
      <c r="J12" s="14"/>
      <c r="K12" s="14"/>
      <c r="L12" s="14"/>
      <c r="M12" s="14" t="s">
        <v>75</v>
      </c>
      <c r="N12" s="15">
        <v>4</v>
      </c>
    </row>
    <row r="13" spans="1:14">
      <c r="A13" s="21">
        <v>46204</v>
      </c>
      <c r="B13" s="14" t="s">
        <v>65</v>
      </c>
      <c r="C13" s="14" t="s">
        <v>32</v>
      </c>
      <c r="D13" s="14" t="s">
        <v>33</v>
      </c>
      <c r="E13" s="14" t="s">
        <v>84</v>
      </c>
      <c r="F13" s="14" t="s">
        <v>67</v>
      </c>
      <c r="G13" s="14" t="s">
        <v>68</v>
      </c>
      <c r="H13" s="17">
        <v>79.90000000000001</v>
      </c>
      <c r="I13" s="14" t="s">
        <v>85</v>
      </c>
      <c r="J13" s="14"/>
      <c r="K13" s="14"/>
      <c r="L13" s="14"/>
      <c r="M13" s="14" t="s">
        <v>75</v>
      </c>
      <c r="N13" s="15">
        <v>4</v>
      </c>
    </row>
    <row r="14" spans="1:14">
      <c r="A14" s="21">
        <v>46204</v>
      </c>
      <c r="B14" s="14" t="s">
        <v>65</v>
      </c>
      <c r="C14" s="14" t="s">
        <v>32</v>
      </c>
      <c r="D14" s="14" t="s">
        <v>33</v>
      </c>
      <c r="E14" s="14" t="s">
        <v>86</v>
      </c>
      <c r="F14" s="14" t="s">
        <v>67</v>
      </c>
      <c r="G14" s="14" t="s">
        <v>68</v>
      </c>
      <c r="H14" s="17">
        <v>26.94</v>
      </c>
      <c r="I14" s="14" t="s">
        <v>87</v>
      </c>
      <c r="J14" s="14"/>
      <c r="K14" s="14"/>
      <c r="L14" s="14"/>
      <c r="M14" s="14" t="s">
        <v>75</v>
      </c>
      <c r="N14" s="15">
        <v>4</v>
      </c>
    </row>
    <row r="15" spans="1:14">
      <c r="A15" s="21">
        <v>46204</v>
      </c>
      <c r="B15" s="14" t="s">
        <v>88</v>
      </c>
      <c r="C15" s="14" t="s">
        <v>32</v>
      </c>
      <c r="D15" s="14" t="s">
        <v>33</v>
      </c>
      <c r="E15" s="14" t="s">
        <v>89</v>
      </c>
      <c r="F15" s="14" t="s">
        <v>67</v>
      </c>
      <c r="G15" s="14" t="s">
        <v>68</v>
      </c>
      <c r="H15" s="17">
        <v>172.8</v>
      </c>
      <c r="I15" s="14" t="s">
        <v>90</v>
      </c>
      <c r="J15" s="14"/>
      <c r="K15" s="14"/>
      <c r="L15" s="14"/>
      <c r="M15" s="14" t="s">
        <v>75</v>
      </c>
      <c r="N15" s="15">
        <v>4</v>
      </c>
    </row>
    <row r="16" spans="1:14">
      <c r="A16" s="21">
        <v>46204</v>
      </c>
      <c r="B16" s="14" t="s">
        <v>65</v>
      </c>
      <c r="C16" s="14" t="s">
        <v>36</v>
      </c>
      <c r="D16" s="14" t="s">
        <v>37</v>
      </c>
      <c r="E16" s="14" t="s">
        <v>91</v>
      </c>
      <c r="F16" s="14" t="s">
        <v>67</v>
      </c>
      <c r="G16" s="14" t="s">
        <v>68</v>
      </c>
      <c r="H16" s="17">
        <v>79.95</v>
      </c>
      <c r="I16" s="14" t="s">
        <v>92</v>
      </c>
      <c r="J16" s="14"/>
      <c r="K16" s="14"/>
      <c r="L16" s="14"/>
      <c r="M16" s="14" t="s">
        <v>70</v>
      </c>
      <c r="N16" s="15">
        <v>2</v>
      </c>
    </row>
    <row r="17" spans="1:14">
      <c r="A17" s="21">
        <v>46204</v>
      </c>
      <c r="B17" s="14" t="s">
        <v>65</v>
      </c>
      <c r="C17" s="14" t="s">
        <v>36</v>
      </c>
      <c r="D17" s="14" t="s">
        <v>37</v>
      </c>
      <c r="E17" s="14" t="s">
        <v>93</v>
      </c>
      <c r="F17" s="14" t="s">
        <v>67</v>
      </c>
      <c r="G17" s="14" t="s">
        <v>68</v>
      </c>
      <c r="H17" s="17">
        <v>89.90000000000001</v>
      </c>
      <c r="I17" s="14" t="s">
        <v>94</v>
      </c>
      <c r="J17" s="14"/>
      <c r="K17" s="14"/>
      <c r="L17" s="14"/>
      <c r="M17" s="14" t="s">
        <v>70</v>
      </c>
      <c r="N17" s="15">
        <v>2</v>
      </c>
    </row>
    <row r="18" spans="1:14">
      <c r="A18" s="21">
        <v>46204</v>
      </c>
      <c r="B18" s="14" t="s">
        <v>65</v>
      </c>
      <c r="C18" s="14" t="s">
        <v>36</v>
      </c>
      <c r="D18" s="14" t="s">
        <v>37</v>
      </c>
      <c r="E18" s="14" t="s">
        <v>95</v>
      </c>
      <c r="F18" s="14" t="s">
        <v>67</v>
      </c>
      <c r="G18" s="14" t="s">
        <v>68</v>
      </c>
      <c r="H18" s="17">
        <v>29.9</v>
      </c>
      <c r="I18" s="14" t="s">
        <v>96</v>
      </c>
      <c r="J18" s="14"/>
      <c r="K18" s="14"/>
      <c r="L18" s="14"/>
      <c r="M18" s="14" t="s">
        <v>70</v>
      </c>
      <c r="N18" s="15">
        <v>2</v>
      </c>
    </row>
    <row r="19" spans="1:14">
      <c r="A19" s="21">
        <v>46204</v>
      </c>
      <c r="B19" s="14" t="s">
        <v>65</v>
      </c>
      <c r="C19" s="14" t="s">
        <v>36</v>
      </c>
      <c r="D19" s="14" t="s">
        <v>37</v>
      </c>
      <c r="E19" s="14" t="s">
        <v>97</v>
      </c>
      <c r="F19" s="14" t="s">
        <v>67</v>
      </c>
      <c r="G19" s="14" t="s">
        <v>68</v>
      </c>
      <c r="H19" s="17">
        <v>30</v>
      </c>
      <c r="I19" s="14" t="s">
        <v>98</v>
      </c>
      <c r="J19" s="14"/>
      <c r="K19" s="14"/>
      <c r="L19" s="14"/>
      <c r="M19" s="14" t="s">
        <v>70</v>
      </c>
      <c r="N19" s="15">
        <v>2</v>
      </c>
    </row>
    <row r="20" spans="1:14">
      <c r="A20" s="21">
        <v>46204</v>
      </c>
      <c r="B20" s="14" t="s">
        <v>65</v>
      </c>
      <c r="C20" s="14" t="s">
        <v>36</v>
      </c>
      <c r="D20" s="14" t="s">
        <v>37</v>
      </c>
      <c r="E20" s="14" t="s">
        <v>99</v>
      </c>
      <c r="F20" s="14" t="s">
        <v>67</v>
      </c>
      <c r="G20" s="14" t="s">
        <v>68</v>
      </c>
      <c r="H20" s="17">
        <v>34.9</v>
      </c>
      <c r="I20" s="14" t="s">
        <v>100</v>
      </c>
      <c r="J20" s="14"/>
      <c r="K20" s="14"/>
      <c r="L20" s="14"/>
      <c r="M20" s="14" t="s">
        <v>70</v>
      </c>
      <c r="N20" s="15">
        <v>2</v>
      </c>
    </row>
    <row r="21" spans="1:14">
      <c r="A21" s="21">
        <v>46205</v>
      </c>
      <c r="B21" s="14" t="s">
        <v>65</v>
      </c>
      <c r="C21" s="14" t="s">
        <v>32</v>
      </c>
      <c r="D21" s="14" t="s">
        <v>33</v>
      </c>
      <c r="E21" s="14" t="s">
        <v>101</v>
      </c>
      <c r="F21" s="14" t="s">
        <v>102</v>
      </c>
      <c r="G21" s="14" t="s">
        <v>68</v>
      </c>
      <c r="H21" s="17">
        <v>100</v>
      </c>
      <c r="I21" s="14" t="s">
        <v>103</v>
      </c>
      <c r="J21" s="14"/>
      <c r="K21" s="14"/>
      <c r="L21" s="14"/>
      <c r="M21" s="14" t="s">
        <v>75</v>
      </c>
      <c r="N21" s="15">
        <v>4</v>
      </c>
    </row>
    <row r="22" spans="1:14">
      <c r="A22" s="21">
        <v>46205</v>
      </c>
      <c r="B22" s="14" t="s">
        <v>104</v>
      </c>
      <c r="C22" s="14" t="s">
        <v>32</v>
      </c>
      <c r="D22" s="14" t="s">
        <v>33</v>
      </c>
      <c r="E22" s="14" t="s">
        <v>105</v>
      </c>
      <c r="F22" s="14" t="s">
        <v>67</v>
      </c>
      <c r="G22" s="14" t="s">
        <v>68</v>
      </c>
      <c r="H22" s="17">
        <v>100</v>
      </c>
      <c r="I22" s="14" t="s">
        <v>103</v>
      </c>
      <c r="J22" s="14" t="s">
        <v>101</v>
      </c>
      <c r="K22" s="14" t="s">
        <v>106</v>
      </c>
      <c r="L22" s="14" t="s">
        <v>107</v>
      </c>
      <c r="M22" s="14"/>
      <c r="N22" s="15">
        <v>4</v>
      </c>
    </row>
    <row r="23" spans="1:14">
      <c r="A23" s="21">
        <v>46205</v>
      </c>
      <c r="B23" s="14" t="s">
        <v>104</v>
      </c>
      <c r="C23" s="14" t="s">
        <v>32</v>
      </c>
      <c r="D23" s="14" t="s">
        <v>33</v>
      </c>
      <c r="E23" s="14" t="s">
        <v>108</v>
      </c>
      <c r="F23" s="14" t="s">
        <v>67</v>
      </c>
      <c r="G23" s="14" t="s">
        <v>68</v>
      </c>
      <c r="H23" s="17">
        <v>172.8</v>
      </c>
      <c r="I23" s="14" t="s">
        <v>103</v>
      </c>
      <c r="J23" s="14" t="s">
        <v>109</v>
      </c>
      <c r="K23" s="14" t="s">
        <v>110</v>
      </c>
      <c r="L23" s="14" t="s">
        <v>107</v>
      </c>
      <c r="M23" s="14"/>
      <c r="N23" s="15">
        <v>4</v>
      </c>
    </row>
    <row r="24" spans="1:14">
      <c r="A24" s="21">
        <v>46205</v>
      </c>
      <c r="B24" s="14" t="s">
        <v>65</v>
      </c>
      <c r="C24" s="14" t="s">
        <v>36</v>
      </c>
      <c r="D24" s="14" t="s">
        <v>37</v>
      </c>
      <c r="E24" s="14" t="s">
        <v>111</v>
      </c>
      <c r="F24" s="14" t="s">
        <v>67</v>
      </c>
      <c r="G24" s="14" t="s">
        <v>68</v>
      </c>
      <c r="H24" s="17">
        <v>14.99</v>
      </c>
      <c r="I24" s="14" t="s">
        <v>112</v>
      </c>
      <c r="J24" s="14"/>
      <c r="K24" s="14"/>
      <c r="L24" s="14"/>
      <c r="M24" s="14" t="s">
        <v>70</v>
      </c>
      <c r="N24" s="15">
        <v>2</v>
      </c>
    </row>
    <row r="25" spans="1:14">
      <c r="A25" s="21">
        <v>46205</v>
      </c>
      <c r="B25" s="14" t="s">
        <v>65</v>
      </c>
      <c r="C25" s="14" t="s">
        <v>36</v>
      </c>
      <c r="D25" s="14" t="s">
        <v>37</v>
      </c>
      <c r="E25" s="14" t="s">
        <v>113</v>
      </c>
      <c r="F25" s="14" t="s">
        <v>67</v>
      </c>
      <c r="G25" s="14" t="s">
        <v>68</v>
      </c>
      <c r="H25" s="17">
        <v>34.9</v>
      </c>
      <c r="I25" s="14" t="s">
        <v>114</v>
      </c>
      <c r="J25" s="14"/>
      <c r="K25" s="14"/>
      <c r="L25" s="14"/>
      <c r="M25" s="14" t="s">
        <v>75</v>
      </c>
      <c r="N25" s="15">
        <v>2</v>
      </c>
    </row>
    <row r="26" spans="1:14">
      <c r="A26" s="21">
        <v>46206</v>
      </c>
      <c r="B26" s="14" t="s">
        <v>65</v>
      </c>
      <c r="C26" s="14" t="s">
        <v>38</v>
      </c>
      <c r="D26" s="14" t="s">
        <v>39</v>
      </c>
      <c r="E26" s="14" t="s">
        <v>115</v>
      </c>
      <c r="F26" s="14" t="s">
        <v>67</v>
      </c>
      <c r="G26" s="14" t="s">
        <v>68</v>
      </c>
      <c r="H26" s="17">
        <v>10</v>
      </c>
      <c r="I26" s="14" t="s">
        <v>103</v>
      </c>
      <c r="J26" s="14"/>
      <c r="K26" s="14"/>
      <c r="L26" s="14"/>
      <c r="M26" s="14" t="s">
        <v>75</v>
      </c>
      <c r="N26" s="15">
        <v>1</v>
      </c>
    </row>
    <row r="27" spans="1:14">
      <c r="A27" s="21">
        <v>46206</v>
      </c>
      <c r="B27" s="14" t="s">
        <v>65</v>
      </c>
      <c r="C27" s="14" t="s">
        <v>32</v>
      </c>
      <c r="D27" s="14" t="s">
        <v>33</v>
      </c>
      <c r="E27" s="14" t="s">
        <v>116</v>
      </c>
      <c r="F27" s="14" t="s">
        <v>67</v>
      </c>
      <c r="G27" s="14" t="s">
        <v>68</v>
      </c>
      <c r="H27" s="17">
        <v>200</v>
      </c>
      <c r="I27" s="14" t="s">
        <v>103</v>
      </c>
      <c r="J27" s="14"/>
      <c r="K27" s="14"/>
      <c r="L27" s="14"/>
      <c r="M27" s="14" t="s">
        <v>75</v>
      </c>
      <c r="N27" s="15">
        <v>4</v>
      </c>
    </row>
    <row r="28" spans="1:14">
      <c r="A28" s="21">
        <v>46206</v>
      </c>
      <c r="B28" s="14" t="s">
        <v>65</v>
      </c>
      <c r="C28" s="14" t="s">
        <v>32</v>
      </c>
      <c r="D28" s="14" t="s">
        <v>33</v>
      </c>
      <c r="E28" s="14" t="s">
        <v>117</v>
      </c>
      <c r="F28" s="14" t="s">
        <v>67</v>
      </c>
      <c r="G28" s="14" t="s">
        <v>68</v>
      </c>
      <c r="H28" s="17">
        <v>500</v>
      </c>
      <c r="I28" s="14" t="s">
        <v>103</v>
      </c>
      <c r="J28" s="14"/>
      <c r="K28" s="14"/>
      <c r="L28" s="14"/>
      <c r="M28" s="14" t="s">
        <v>75</v>
      </c>
      <c r="N28" s="15">
        <v>4</v>
      </c>
    </row>
    <row r="29" spans="1:14">
      <c r="A29" s="21">
        <v>46206</v>
      </c>
      <c r="B29" s="14" t="s">
        <v>88</v>
      </c>
      <c r="C29" s="14" t="s">
        <v>32</v>
      </c>
      <c r="D29" s="14" t="s">
        <v>33</v>
      </c>
      <c r="E29" s="14" t="s">
        <v>118</v>
      </c>
      <c r="F29" s="14" t="s">
        <v>67</v>
      </c>
      <c r="G29" s="14" t="s">
        <v>68</v>
      </c>
      <c r="H29" s="17">
        <v>20</v>
      </c>
      <c r="I29" s="14" t="s">
        <v>103</v>
      </c>
      <c r="J29" s="14"/>
      <c r="K29" s="14"/>
      <c r="L29" s="14"/>
      <c r="M29" s="14" t="s">
        <v>75</v>
      </c>
      <c r="N29" s="15">
        <v>4</v>
      </c>
    </row>
    <row r="30" spans="1:14">
      <c r="A30" s="21">
        <v>46210</v>
      </c>
      <c r="B30" s="14" t="s">
        <v>88</v>
      </c>
      <c r="C30" s="14" t="s">
        <v>34</v>
      </c>
      <c r="D30" s="14" t="s">
        <v>35</v>
      </c>
      <c r="E30" s="14" t="s">
        <v>119</v>
      </c>
      <c r="F30" s="14" t="s">
        <v>67</v>
      </c>
      <c r="G30" s="14" t="s">
        <v>68</v>
      </c>
      <c r="H30" s="17">
        <v>372.9</v>
      </c>
      <c r="I30" s="14" t="s">
        <v>120</v>
      </c>
      <c r="J30" s="14"/>
      <c r="K30" s="14"/>
      <c r="L30" s="14"/>
      <c r="M30" s="14" t="s">
        <v>75</v>
      </c>
      <c r="N30" s="15">
        <v>5</v>
      </c>
    </row>
    <row r="31" spans="1:14">
      <c r="A31" s="21">
        <v>46212</v>
      </c>
      <c r="B31" s="14" t="s">
        <v>104</v>
      </c>
      <c r="C31" s="14" t="s">
        <v>50</v>
      </c>
      <c r="D31" s="14" t="s">
        <v>51</v>
      </c>
      <c r="E31" s="14" t="s">
        <v>121</v>
      </c>
      <c r="F31" s="14" t="s">
        <v>67</v>
      </c>
      <c r="G31" s="14" t="s">
        <v>68</v>
      </c>
      <c r="H31" s="17">
        <v>47.96</v>
      </c>
      <c r="I31" s="14" t="s">
        <v>103</v>
      </c>
      <c r="J31" s="14" t="s">
        <v>122</v>
      </c>
      <c r="K31" s="14" t="s">
        <v>106</v>
      </c>
      <c r="L31" s="14" t="s">
        <v>107</v>
      </c>
      <c r="M31" s="14"/>
      <c r="N31" s="15">
        <v>8</v>
      </c>
    </row>
    <row r="32" spans="1:14">
      <c r="A32" s="21">
        <v>46212</v>
      </c>
      <c r="B32" s="14" t="s">
        <v>104</v>
      </c>
      <c r="C32" s="14" t="s">
        <v>50</v>
      </c>
      <c r="D32" s="14" t="s">
        <v>51</v>
      </c>
      <c r="E32" s="14" t="s">
        <v>123</v>
      </c>
      <c r="F32" s="14" t="s">
        <v>67</v>
      </c>
      <c r="G32" s="14" t="s">
        <v>68</v>
      </c>
      <c r="H32" s="17">
        <v>42.8</v>
      </c>
      <c r="I32" s="14" t="s">
        <v>103</v>
      </c>
      <c r="J32" s="14" t="s">
        <v>124</v>
      </c>
      <c r="K32" s="14" t="s">
        <v>106</v>
      </c>
      <c r="L32" s="14" t="s">
        <v>107</v>
      </c>
      <c r="M32" s="14"/>
      <c r="N32" s="15">
        <v>8</v>
      </c>
    </row>
    <row r="33" spans="1:14">
      <c r="A33" s="21">
        <v>46212</v>
      </c>
      <c r="B33" s="14" t="s">
        <v>104</v>
      </c>
      <c r="C33" s="14" t="s">
        <v>50</v>
      </c>
      <c r="D33" s="14" t="s">
        <v>51</v>
      </c>
      <c r="E33" s="14" t="s">
        <v>125</v>
      </c>
      <c r="F33" s="14" t="s">
        <v>67</v>
      </c>
      <c r="G33" s="14" t="s">
        <v>68</v>
      </c>
      <c r="H33" s="17">
        <v>159.9</v>
      </c>
      <c r="I33" s="14" t="s">
        <v>103</v>
      </c>
      <c r="J33" s="14" t="s">
        <v>126</v>
      </c>
      <c r="K33" s="14" t="s">
        <v>106</v>
      </c>
      <c r="L33" s="14" t="s">
        <v>107</v>
      </c>
      <c r="M33" s="14"/>
      <c r="N33" s="15">
        <v>8</v>
      </c>
    </row>
  </sheetData>
  <mergeCells count="3">
    <mergeCell ref="A1:N1"/>
    <mergeCell ref="A2:N2"/>
    <mergeCell ref="A3:N3"/>
  </mergeCells>
  <conditionalFormatting sqref="F6:F33">
    <cfRule type="containsText" dxfId="1" priority="1" operator="containsText" text="ACEPTADO">
      <formula>NOT(ISERROR(SEARCH("ACEPTADO",F6)))</formula>
    </cfRule>
    <cfRule type="containsText" dxfId="0" priority="2" operator="containsText" text="RECHAZADO">
      <formula>NOT(ISERROR(SEARCH("RECHAZADO",F6)))</formula>
    </cfRule>
    <cfRule type="containsText" dxfId="2" priority="3" operator="containsText" text="ANULADO">
      <formula>NOT(ISERROR(SEARCH("ANULADO",F6)))</formula>
    </cfRule>
  </conditionalFormatting>
  <pageMargins left="0.7" right="0.7" top="0.75" bottom="0.75" header="0.3" footer="0.3"/>
  <pageSetup fitToHeight="0" orientation="landscape"/>
  <headerFooter>
    <oddHeader>&amp;LZentoFact&amp;CDetalle de comprobantes&amp;R&amp;P de &amp;N</oddHeader>
    <oddFooter>&amp;LJulio 2026&amp;CConfidencial&amp;RGenerado 31/07/2026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E22CE"/>
  </sheetPr>
  <dimension ref="B2:F27"/>
  <sheetViews>
    <sheetView showGridLines="0" zoomScale="95" zoomScaleNormal="95" workbookViewId="0"/>
  </sheetViews>
  <sheetFormatPr defaultRowHeight="15"/>
  <cols>
    <col min="1" max="1" width="3.7109375" customWidth="1"/>
    <col min="2" max="2" width="27.7109375" customWidth="1"/>
    <col min="3" max="6" width="19.7109375" customWidth="1"/>
  </cols>
  <sheetData>
    <row r="2" spans="2:6">
      <c r="B2" s="1" t="s">
        <v>139</v>
      </c>
      <c r="C2" s="1"/>
      <c r="D2" s="1"/>
      <c r="E2" s="1"/>
      <c r="F2" s="1"/>
    </row>
    <row r="3" spans="2:6">
      <c r="B3" s="2" t="s">
        <v>140</v>
      </c>
      <c r="C3" s="2"/>
      <c r="D3" s="2"/>
      <c r="E3" s="2"/>
      <c r="F3" s="2"/>
    </row>
    <row r="5" spans="2:6">
      <c r="B5" s="13" t="s">
        <v>141</v>
      </c>
    </row>
    <row r="6" spans="2:6" ht="32" customHeight="1">
      <c r="B6" s="22" t="s">
        <v>142</v>
      </c>
      <c r="C6" s="12" t="s">
        <v>143</v>
      </c>
      <c r="D6" s="12"/>
      <c r="E6" s="12"/>
      <c r="F6" s="12"/>
    </row>
    <row r="7" spans="2:6" ht="32" customHeight="1">
      <c r="B7" s="22" t="s">
        <v>144</v>
      </c>
      <c r="C7" s="12" t="s">
        <v>145</v>
      </c>
      <c r="D7" s="12"/>
      <c r="E7" s="12"/>
      <c r="F7" s="12"/>
    </row>
    <row r="8" spans="2:6" ht="32" customHeight="1">
      <c r="B8" s="22" t="s">
        <v>146</v>
      </c>
      <c r="C8" s="12" t="s">
        <v>147</v>
      </c>
      <c r="D8" s="12"/>
      <c r="E8" s="12"/>
      <c r="F8" s="12"/>
    </row>
    <row r="9" spans="2:6" ht="32" customHeight="1">
      <c r="B9" s="22" t="s">
        <v>148</v>
      </c>
      <c r="C9" s="12" t="s">
        <v>149</v>
      </c>
      <c r="D9" s="12"/>
      <c r="E9" s="12"/>
      <c r="F9" s="12"/>
    </row>
    <row r="10" spans="2:6" ht="32" customHeight="1">
      <c r="B10" s="22" t="s">
        <v>150</v>
      </c>
      <c r="C10" s="12" t="s">
        <v>151</v>
      </c>
      <c r="D10" s="12"/>
      <c r="E10" s="12"/>
      <c r="F10" s="12"/>
    </row>
    <row r="11" spans="2:6" ht="32" customHeight="1">
      <c r="B11" s="22" t="s">
        <v>8</v>
      </c>
      <c r="C11" s="12" t="s">
        <v>152</v>
      </c>
      <c r="D11" s="12"/>
      <c r="E11" s="12"/>
      <c r="F11" s="12"/>
    </row>
    <row r="12" spans="2:6" ht="32" customHeight="1">
      <c r="B12" s="22" t="s">
        <v>153</v>
      </c>
      <c r="C12" s="12" t="s">
        <v>154</v>
      </c>
      <c r="D12" s="12"/>
      <c r="E12" s="12"/>
      <c r="F12" s="12"/>
    </row>
    <row r="15" spans="2:6">
      <c r="B15" s="13" t="s">
        <v>155</v>
      </c>
    </row>
    <row r="16" spans="2:6">
      <c r="B16" s="16" t="s">
        <v>156</v>
      </c>
      <c r="C16" s="16" t="s">
        <v>157</v>
      </c>
      <c r="D16" s="16" t="s">
        <v>158</v>
      </c>
      <c r="E16" s="16" t="s">
        <v>159</v>
      </c>
    </row>
    <row r="17" spans="2:6">
      <c r="B17" s="14" t="s">
        <v>160</v>
      </c>
      <c r="C17" s="15">
        <v>20</v>
      </c>
      <c r="D17" s="15">
        <v>20</v>
      </c>
      <c r="E17" s="23" t="s">
        <v>161</v>
      </c>
    </row>
    <row r="18" spans="2:6">
      <c r="B18" s="14" t="s">
        <v>162</v>
      </c>
      <c r="C18" s="15">
        <v>3</v>
      </c>
      <c r="D18" s="15">
        <v>3</v>
      </c>
      <c r="E18" s="23" t="s">
        <v>161</v>
      </c>
    </row>
    <row r="19" spans="2:6">
      <c r="B19" s="14" t="s">
        <v>163</v>
      </c>
      <c r="C19" s="15">
        <v>5</v>
      </c>
      <c r="D19" s="15">
        <v>5</v>
      </c>
      <c r="E19" s="23" t="s">
        <v>161</v>
      </c>
    </row>
    <row r="20" spans="2:6">
      <c r="B20" s="14" t="s">
        <v>164</v>
      </c>
      <c r="C20" s="17">
        <v>1663.82</v>
      </c>
      <c r="D20" s="17">
        <v>1663.82</v>
      </c>
      <c r="E20" s="23" t="s">
        <v>161</v>
      </c>
    </row>
    <row r="23" spans="2:6">
      <c r="B23" s="13" t="s">
        <v>165</v>
      </c>
    </row>
    <row r="24" spans="2:6" ht="28" customHeight="1">
      <c r="B24" s="24" t="s">
        <v>166</v>
      </c>
      <c r="C24" s="12" t="s">
        <v>167</v>
      </c>
      <c r="D24" s="12"/>
      <c r="E24" s="12"/>
      <c r="F24" s="12"/>
    </row>
    <row r="25" spans="2:6" ht="28" customHeight="1">
      <c r="B25" s="24" t="s">
        <v>168</v>
      </c>
      <c r="C25" s="12" t="s">
        <v>169</v>
      </c>
      <c r="D25" s="12"/>
      <c r="E25" s="12"/>
      <c r="F25" s="12"/>
    </row>
    <row r="26" spans="2:6" ht="28" customHeight="1">
      <c r="B26" s="24" t="s">
        <v>170</v>
      </c>
      <c r="C26" s="12" t="s">
        <v>171</v>
      </c>
      <c r="D26" s="12"/>
      <c r="E26" s="12"/>
      <c r="F26" s="12"/>
    </row>
    <row r="27" spans="2:6" ht="28" customHeight="1">
      <c r="B27" s="24" t="s">
        <v>131</v>
      </c>
      <c r="C27" s="12" t="s">
        <v>172</v>
      </c>
      <c r="D27" s="12"/>
      <c r="E27" s="12"/>
      <c r="F27" s="12"/>
    </row>
  </sheetData>
  <mergeCells count="13">
    <mergeCell ref="B2:F2"/>
    <mergeCell ref="B3:F3"/>
    <mergeCell ref="C6:F6"/>
    <mergeCell ref="C7:F7"/>
    <mergeCell ref="C8:F8"/>
    <mergeCell ref="C9:F9"/>
    <mergeCell ref="C10:F10"/>
    <mergeCell ref="C11:F11"/>
    <mergeCell ref="C12:F12"/>
    <mergeCell ref="C24:F24"/>
    <mergeCell ref="C25:F25"/>
    <mergeCell ref="C26:F26"/>
    <mergeCell ref="C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Resumen empresas</vt:lpstr>
      <vt:lpstr>Detalle documentos</vt:lpstr>
      <vt:lpstr>Metodología</vt:lpstr>
      <vt:lpstr>Dashboard!Print_Area</vt:lpstr>
    </vt:vector>
  </TitlesOfParts>
  <Company>ZentoFact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consolidado de empresas - Julio 2026</dc:title>
  <dc:subject>Boletas, facturas, notas de crédito y ventas netas</dc:subject>
  <dc:creator>ZentoFact</dc:creator>
  <dc:description>Generado desde la base PostgreSQL conectada al proyecto.</dc:description>
  <cp:lastModifiedBy>ZentoFact</cp:lastModifiedBy>
  <dcterms:created xsi:type="dcterms:W3CDTF">2026-07-31T05:41:14Z</dcterms:created>
  <dcterms:modified xsi:type="dcterms:W3CDTF">2026-07-31T05:41:14Z</dcterms:modified>
</cp:coreProperties>
</file>